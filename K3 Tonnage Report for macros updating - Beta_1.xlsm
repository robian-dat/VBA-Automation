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Users\arobin\Documents\Work Term Summer 2020\"/>
    </mc:Choice>
  </mc:AlternateContent>
  <xr:revisionPtr revIDLastSave="0" documentId="10_ncr:100000_{4B7B6716-9725-44DC-AB8F-18EAAC962693}" xr6:coauthVersionLast="31" xr6:coauthVersionMax="31" xr10:uidLastSave="{00000000-0000-0000-0000-000000000000}"/>
  <bookViews>
    <workbookView xWindow="920" yWindow="-90" windowWidth="19200" windowHeight="11420" tabRatio="879" activeTab="7" xr2:uid="{00000000-000D-0000-FFFF-FFFF00000000}"/>
  </bookViews>
  <sheets>
    <sheet name="Report Cover Page" sheetId="1" r:id="rId1"/>
    <sheet name="Royalty Cover Page" sheetId="2" r:id="rId2"/>
    <sheet name="Tons By Miner" sheetId="3" r:id="rId3"/>
    <sheet name="Production_Development" sheetId="4" r:id="rId4"/>
    <sheet name="Royalty Calcs" sheetId="9" r:id="rId5"/>
    <sheet name="T 90" sheetId="14" r:id="rId6"/>
    <sheet name="T 90 Chart" sheetId="15" r:id="rId7"/>
    <sheet name="Data Base" sheetId="6" r:id="rId8"/>
    <sheet name="Take Off Sheet" sheetId="12" r:id="rId9"/>
    <sheet name="Data For Calcs" sheetId="13" r:id="rId10"/>
  </sheets>
  <functionGroups builtInGroupCount="19"/>
  <definedNames>
    <definedName name="_xlnm._FilterDatabase" localSheetId="7" hidden="1">'Data Base'!$A$4:$N$4</definedName>
    <definedName name="D_P">'Data Base'!XFD1:XFD61985</definedName>
    <definedName name="_xlnm.Print_Area" localSheetId="7">'Data Base'!$A$1:$N$4</definedName>
    <definedName name="_xlnm.Print_Area" localSheetId="3">Production_Development!$A$1:$I$49</definedName>
    <definedName name="_xlnm.Print_Area" localSheetId="0">'Report Cover Page'!$A$1:$I$57</definedName>
    <definedName name="_xlnm.Print_Area" localSheetId="4">'Royalty Calcs'!$A$1:$E$46</definedName>
    <definedName name="_xlnm.Print_Area" localSheetId="1">'Royalty Cover Page'!$A$1:$I$43</definedName>
    <definedName name="_xlnm.Print_Area" localSheetId="5">'T 90'!$A$1:$O$31</definedName>
    <definedName name="_xlnm.Print_Area" localSheetId="6">'T 90 Chart'!$A$2:$M$34</definedName>
    <definedName name="_xlnm.Print_Area" localSheetId="8">'Take Off Sheet'!$A$1:$P$172</definedName>
    <definedName name="_xlnm.Print_Area" localSheetId="2">'Tons By Miner'!$A$1:$I$59</definedName>
    <definedName name="RAW_DATA">'Data Base'!$A$4:$N$62857</definedName>
  </definedNames>
  <calcPr calcId="179017"/>
</workbook>
</file>

<file path=xl/calcChain.xml><?xml version="1.0" encoding="utf-8"?>
<calcChain xmlns="http://schemas.openxmlformats.org/spreadsheetml/2006/main">
  <c r="H16" i="12" l="1"/>
  <c r="F94" i="12" l="1"/>
  <c r="H94" i="12" s="1"/>
  <c r="I94" i="12" s="1"/>
  <c r="N94" i="12"/>
  <c r="F95" i="12"/>
  <c r="H95" i="12"/>
  <c r="I95" i="12" s="1"/>
  <c r="N95" i="12"/>
  <c r="F106" i="12"/>
  <c r="H106" i="12" s="1"/>
  <c r="I106" i="12" s="1"/>
  <c r="N106" i="12"/>
  <c r="F107" i="12"/>
  <c r="H107" i="12" s="1"/>
  <c r="I107" i="12" s="1"/>
  <c r="N107" i="12"/>
  <c r="F119" i="12"/>
  <c r="H119" i="12" s="1"/>
  <c r="I119" i="12" s="1"/>
  <c r="N119" i="12"/>
  <c r="F120" i="12"/>
  <c r="H120" i="12" s="1"/>
  <c r="I120" i="12" s="1"/>
  <c r="N120" i="12"/>
  <c r="F135" i="12"/>
  <c r="H135" i="12" s="1"/>
  <c r="I135" i="12" s="1"/>
  <c r="N135" i="12"/>
  <c r="F136" i="12"/>
  <c r="H136" i="12" s="1"/>
  <c r="I136" i="12" s="1"/>
  <c r="N136" i="12"/>
  <c r="U142" i="12" l="1"/>
  <c r="U143" i="12"/>
  <c r="U141" i="12"/>
  <c r="N145" i="12" l="1"/>
  <c r="F145" i="12"/>
  <c r="H145" i="12" s="1"/>
  <c r="I145" i="12" s="1"/>
  <c r="A145" i="12"/>
  <c r="N144" i="12"/>
  <c r="F144" i="12"/>
  <c r="H144" i="12" s="1"/>
  <c r="I144" i="12" s="1"/>
  <c r="A144" i="12"/>
  <c r="N143" i="12"/>
  <c r="F143" i="12"/>
  <c r="H143" i="12" s="1"/>
  <c r="I143" i="12" s="1"/>
  <c r="A143" i="12"/>
  <c r="N142" i="12"/>
  <c r="F142" i="12"/>
  <c r="H142" i="12" s="1"/>
  <c r="I142" i="12" s="1"/>
  <c r="A142" i="12"/>
  <c r="N141" i="12"/>
  <c r="F141" i="12"/>
  <c r="H141" i="12" s="1"/>
  <c r="I141" i="12" s="1"/>
  <c r="A141" i="12"/>
  <c r="N140" i="12"/>
  <c r="F140" i="12"/>
  <c r="H140" i="12" s="1"/>
  <c r="I140" i="12" s="1"/>
  <c r="A140" i="12"/>
  <c r="N139" i="12"/>
  <c r="F139" i="12"/>
  <c r="H139" i="12" s="1"/>
  <c r="I139" i="12" s="1"/>
  <c r="A139" i="12"/>
  <c r="N138" i="12"/>
  <c r="F138" i="12"/>
  <c r="H138" i="12" s="1"/>
  <c r="I138" i="12" s="1"/>
  <c r="A138" i="12"/>
  <c r="N137" i="12"/>
  <c r="F137" i="12"/>
  <c r="H137" i="12" s="1"/>
  <c r="I137" i="12" s="1"/>
  <c r="A137" i="12"/>
  <c r="N134" i="12"/>
  <c r="F134" i="12"/>
  <c r="H134" i="12" s="1"/>
  <c r="H31" i="12"/>
  <c r="H30" i="12"/>
  <c r="I134" i="12" l="1"/>
  <c r="I146" i="12" s="1"/>
  <c r="H146" i="12"/>
  <c r="N39" i="12"/>
  <c r="N38" i="12"/>
  <c r="N37" i="12"/>
  <c r="N36" i="12"/>
  <c r="N35" i="12"/>
  <c r="N34" i="12"/>
  <c r="N33" i="12"/>
  <c r="N32" i="12"/>
  <c r="N31" i="12"/>
  <c r="N30" i="12"/>
  <c r="G165" i="12" l="1"/>
  <c r="H165" i="12" s="1"/>
  <c r="G164" i="12"/>
  <c r="H164" i="12" s="1"/>
  <c r="G163" i="12"/>
  <c r="H163" i="12" s="1"/>
  <c r="H156" i="12"/>
  <c r="M10" i="12" l="1"/>
  <c r="H11" i="3" l="1"/>
  <c r="F61" i="12" l="1"/>
  <c r="F60" i="12" l="1"/>
  <c r="H44" i="12" l="1"/>
  <c r="H45" i="12" l="1"/>
  <c r="N129" i="12" l="1"/>
  <c r="F129" i="12"/>
  <c r="H129" i="12" s="1"/>
  <c r="I129" i="12" s="1"/>
  <c r="N128" i="12"/>
  <c r="F128" i="12"/>
  <c r="H128" i="12" s="1"/>
  <c r="I128" i="12" s="1"/>
  <c r="N127" i="12"/>
  <c r="F127" i="12"/>
  <c r="H127" i="12" s="1"/>
  <c r="I127" i="12" s="1"/>
  <c r="N126" i="12"/>
  <c r="F126" i="12"/>
  <c r="H126" i="12" s="1"/>
  <c r="I126" i="12" s="1"/>
  <c r="N125" i="12"/>
  <c r="F125" i="12"/>
  <c r="H125" i="12" s="1"/>
  <c r="I125" i="12" s="1"/>
  <c r="N124" i="12"/>
  <c r="F124" i="12"/>
  <c r="H124" i="12" s="1"/>
  <c r="I124" i="12" s="1"/>
  <c r="N123" i="12"/>
  <c r="F123" i="12"/>
  <c r="H123" i="12" s="1"/>
  <c r="I123" i="12" s="1"/>
  <c r="N122" i="12"/>
  <c r="F122" i="12"/>
  <c r="H122" i="12" s="1"/>
  <c r="I122" i="12" s="1"/>
  <c r="N121" i="12"/>
  <c r="F121" i="12"/>
  <c r="H121" i="12" s="1"/>
  <c r="I121" i="12" s="1"/>
  <c r="A121" i="12"/>
  <c r="A122" i="12" s="1"/>
  <c r="A123" i="12" s="1"/>
  <c r="A124" i="12" s="1"/>
  <c r="A125" i="12" s="1"/>
  <c r="A126" i="12" s="1"/>
  <c r="A127" i="12" s="1"/>
  <c r="A128" i="12" s="1"/>
  <c r="A129" i="12" s="1"/>
  <c r="N118" i="12"/>
  <c r="F118" i="12"/>
  <c r="H118" i="12" s="1"/>
  <c r="N97" i="12"/>
  <c r="F97" i="12"/>
  <c r="H97" i="12" s="1"/>
  <c r="I97" i="12" s="1"/>
  <c r="A97" i="12"/>
  <c r="N96" i="12"/>
  <c r="F96" i="12"/>
  <c r="H96" i="12" s="1"/>
  <c r="I96" i="12" s="1"/>
  <c r="N93" i="12"/>
  <c r="F93" i="12"/>
  <c r="H93" i="12" s="1"/>
  <c r="I93" i="12" s="1"/>
  <c r="N92" i="12"/>
  <c r="F92" i="12"/>
  <c r="H92" i="12" s="1"/>
  <c r="I92" i="12" s="1"/>
  <c r="N91" i="12"/>
  <c r="F91" i="12"/>
  <c r="N90" i="12"/>
  <c r="F90" i="12"/>
  <c r="H90" i="12" s="1"/>
  <c r="I90" i="12" s="1"/>
  <c r="N89" i="12"/>
  <c r="F89" i="12"/>
  <c r="N88" i="12"/>
  <c r="F88" i="12"/>
  <c r="H88" i="12" s="1"/>
  <c r="I88" i="12" s="1"/>
  <c r="N87" i="12"/>
  <c r="F87" i="12"/>
  <c r="H87" i="12" s="1"/>
  <c r="I87" i="12" s="1"/>
  <c r="A87" i="12"/>
  <c r="A88" i="12" s="1"/>
  <c r="A89" i="12" s="1"/>
  <c r="A90" i="12" s="1"/>
  <c r="A91" i="12" s="1"/>
  <c r="A92" i="12" s="1"/>
  <c r="A93" i="12" s="1"/>
  <c r="A96" i="12" s="1"/>
  <c r="N86" i="12"/>
  <c r="F86" i="12"/>
  <c r="H86" i="12" s="1"/>
  <c r="H89" i="12" l="1"/>
  <c r="I89" i="12" s="1"/>
  <c r="H91" i="12"/>
  <c r="I91" i="12" s="1"/>
  <c r="I86" i="12"/>
  <c r="H130" i="12"/>
  <c r="C9" i="3" s="1"/>
  <c r="I118" i="12"/>
  <c r="I130" i="12" s="1"/>
  <c r="H98" i="12" l="1"/>
  <c r="I98" i="12"/>
  <c r="H178" i="12"/>
  <c r="H7" i="3"/>
  <c r="C9" i="9" l="1"/>
  <c r="C8" i="9"/>
  <c r="C10" i="9" l="1"/>
  <c r="H167" i="12"/>
  <c r="I170" i="12" s="1"/>
  <c r="H10" i="4"/>
  <c r="H9" i="4"/>
  <c r="H8" i="4"/>
  <c r="AK7" i="13"/>
  <c r="AH7" i="13"/>
  <c r="AE7" i="13"/>
  <c r="AB7" i="13"/>
  <c r="H8" i="3" l="1"/>
  <c r="E18" i="14" l="1"/>
  <c r="F18" i="14"/>
  <c r="F19" i="14"/>
  <c r="G19" i="14"/>
  <c r="H19" i="14"/>
  <c r="I19" i="14"/>
  <c r="J19" i="14"/>
  <c r="K19" i="14"/>
  <c r="L19" i="14"/>
  <c r="M19" i="14"/>
  <c r="N19" i="14"/>
  <c r="O19" i="14"/>
  <c r="E9" i="14"/>
  <c r="E10" i="14"/>
  <c r="A59" i="12" l="1"/>
  <c r="A60" i="12" s="1"/>
  <c r="A61" i="12" s="1"/>
  <c r="A62" i="12" s="1"/>
  <c r="A63" i="12" s="1"/>
  <c r="A64" i="12"/>
  <c r="N67" i="12"/>
  <c r="N66" i="12"/>
  <c r="N65" i="12"/>
  <c r="N64" i="12"/>
  <c r="N63" i="12"/>
  <c r="N62" i="12"/>
  <c r="N61" i="12"/>
  <c r="N60" i="12"/>
  <c r="N59" i="12"/>
  <c r="N58" i="12"/>
  <c r="H60" i="12"/>
  <c r="I60" i="12" s="1"/>
  <c r="H61" i="12"/>
  <c r="I61" i="12" s="1"/>
  <c r="H62" i="12"/>
  <c r="I62" i="12" s="1"/>
  <c r="H63" i="12"/>
  <c r="I63" i="12" s="1"/>
  <c r="H64" i="12"/>
  <c r="I64" i="12" s="1"/>
  <c r="H65" i="12"/>
  <c r="I65" i="12" s="1"/>
  <c r="H66" i="12"/>
  <c r="I66" i="12" s="1"/>
  <c r="H59" i="12"/>
  <c r="N113" i="12" l="1"/>
  <c r="F113" i="12"/>
  <c r="H113" i="12" s="1"/>
  <c r="I113" i="12" s="1"/>
  <c r="N112" i="12"/>
  <c r="F112" i="12"/>
  <c r="H112" i="12" s="1"/>
  <c r="I112" i="12" s="1"/>
  <c r="N111" i="12"/>
  <c r="F111" i="12"/>
  <c r="H111" i="12" s="1"/>
  <c r="I111" i="12" s="1"/>
  <c r="N110" i="12"/>
  <c r="F110" i="12"/>
  <c r="H110" i="12" s="1"/>
  <c r="I110" i="12" s="1"/>
  <c r="N109" i="12"/>
  <c r="F109" i="12"/>
  <c r="H109" i="12" s="1"/>
  <c r="I109" i="12" s="1"/>
  <c r="N108" i="12"/>
  <c r="F108" i="12"/>
  <c r="H108" i="12" s="1"/>
  <c r="I108" i="12" s="1"/>
  <c r="N105" i="12"/>
  <c r="F105" i="12"/>
  <c r="N104" i="12"/>
  <c r="F104" i="12"/>
  <c r="H104" i="12" s="1"/>
  <c r="I104" i="12" s="1"/>
  <c r="N103" i="12"/>
  <c r="F103" i="12"/>
  <c r="A103" i="12"/>
  <c r="A104" i="12" s="1"/>
  <c r="A105" i="12" s="1"/>
  <c r="A108" i="12" s="1"/>
  <c r="A109" i="12" s="1"/>
  <c r="A110" i="12" s="1"/>
  <c r="A111" i="12" s="1"/>
  <c r="A112" i="12" s="1"/>
  <c r="A113" i="12" s="1"/>
  <c r="N102" i="12"/>
  <c r="F102" i="12"/>
  <c r="H102" i="12" s="1"/>
  <c r="H105" i="12" l="1"/>
  <c r="I105" i="12" s="1"/>
  <c r="H103" i="12"/>
  <c r="I103" i="12" s="1"/>
  <c r="I102" i="12"/>
  <c r="H114" i="12" l="1"/>
  <c r="C8" i="3" s="1"/>
  <c r="H7" i="4" s="1"/>
  <c r="I114" i="12"/>
  <c r="F34" i="12"/>
  <c r="H34" i="12"/>
  <c r="I34" i="12" s="1"/>
  <c r="T78" i="12" l="1"/>
  <c r="N46" i="12" l="1"/>
  <c r="H46" i="12"/>
  <c r="I46" i="12" s="1"/>
  <c r="F46" i="12"/>
  <c r="N45" i="12"/>
  <c r="I45" i="12"/>
  <c r="F45" i="12"/>
  <c r="A31" i="12" l="1"/>
  <c r="A32" i="12" s="1"/>
  <c r="A33" i="12" s="1"/>
  <c r="A34" i="12" s="1"/>
  <c r="A35" i="12" s="1"/>
  <c r="A36" i="12" s="1"/>
  <c r="A37" i="12" s="1"/>
  <c r="A38" i="12" s="1"/>
  <c r="A73" i="12" l="1"/>
  <c r="A74" i="12" s="1"/>
  <c r="A75" i="12"/>
  <c r="N73" i="12"/>
  <c r="N81" i="12" l="1"/>
  <c r="H81" i="12"/>
  <c r="I81" i="12" s="1"/>
  <c r="F81" i="12"/>
  <c r="A81" i="12"/>
  <c r="N80" i="12"/>
  <c r="H80" i="12"/>
  <c r="I80" i="12" s="1"/>
  <c r="F80" i="12"/>
  <c r="A80" i="12"/>
  <c r="N79" i="12"/>
  <c r="H79" i="12"/>
  <c r="I79" i="12" s="1"/>
  <c r="F79" i="12"/>
  <c r="A79" i="12"/>
  <c r="N78" i="12"/>
  <c r="H78" i="12"/>
  <c r="I78" i="12" s="1"/>
  <c r="F78" i="12"/>
  <c r="A78" i="12"/>
  <c r="N77" i="12"/>
  <c r="H77" i="12"/>
  <c r="I77" i="12" s="1"/>
  <c r="F77" i="12"/>
  <c r="A77" i="12"/>
  <c r="N76" i="12"/>
  <c r="H76" i="12"/>
  <c r="I76" i="12" s="1"/>
  <c r="F76" i="12"/>
  <c r="A76" i="12"/>
  <c r="N75" i="12"/>
  <c r="H75" i="12"/>
  <c r="I75" i="12" s="1"/>
  <c r="F75" i="12"/>
  <c r="N74" i="12"/>
  <c r="H74" i="12"/>
  <c r="I74" i="12" s="1"/>
  <c r="F74" i="12"/>
  <c r="H73" i="12"/>
  <c r="I73" i="12" s="1"/>
  <c r="F73" i="12"/>
  <c r="N72" i="12"/>
  <c r="H72" i="12"/>
  <c r="I72" i="12" s="1"/>
  <c r="F72" i="12"/>
  <c r="C7" i="3" l="1"/>
  <c r="H6" i="4" s="1"/>
  <c r="H82" i="12"/>
  <c r="I82" i="12"/>
  <c r="C16" i="3" l="1"/>
  <c r="T82" i="12"/>
  <c r="S82" i="12"/>
  <c r="H17" i="12"/>
  <c r="F16" i="12"/>
  <c r="F17" i="12"/>
  <c r="F18" i="12"/>
  <c r="F19" i="12"/>
  <c r="F15" i="4" l="1"/>
  <c r="H15" i="4"/>
  <c r="E39" i="14" l="1"/>
  <c r="F39" i="14"/>
  <c r="G39" i="14"/>
  <c r="H39" i="14"/>
  <c r="I39" i="14"/>
  <c r="J39" i="14"/>
  <c r="K39" i="14"/>
  <c r="L39" i="14"/>
  <c r="M39" i="14"/>
  <c r="N39" i="14"/>
  <c r="O39" i="14"/>
  <c r="F9" i="14"/>
  <c r="G9" i="14"/>
  <c r="H9" i="14"/>
  <c r="I9" i="14"/>
  <c r="J9" i="14"/>
  <c r="K9" i="14"/>
  <c r="L9" i="14"/>
  <c r="M9" i="14"/>
  <c r="N9" i="14"/>
  <c r="O9" i="14"/>
  <c r="D9" i="14"/>
  <c r="F10" i="14"/>
  <c r="G10" i="14"/>
  <c r="H10" i="14"/>
  <c r="I10" i="14"/>
  <c r="J10" i="14"/>
  <c r="K10" i="14"/>
  <c r="L10" i="14"/>
  <c r="M10" i="14"/>
  <c r="N10" i="14"/>
  <c r="O10" i="14"/>
  <c r="D10" i="14"/>
  <c r="D39" i="14"/>
  <c r="E41" i="14"/>
  <c r="F41" i="14"/>
  <c r="G41" i="14"/>
  <c r="H41" i="14"/>
  <c r="I41" i="14"/>
  <c r="J41" i="14"/>
  <c r="K41" i="14"/>
  <c r="L41" i="14"/>
  <c r="M41" i="14"/>
  <c r="N41" i="14"/>
  <c r="O41" i="14"/>
  <c r="D41" i="14"/>
  <c r="E24" i="14"/>
  <c r="E30" i="14" s="1"/>
  <c r="F24" i="14"/>
  <c r="F30" i="14" s="1"/>
  <c r="G24" i="14"/>
  <c r="H24" i="14"/>
  <c r="H31" i="14" s="1"/>
  <c r="I24" i="14"/>
  <c r="I31" i="14" s="1"/>
  <c r="J24" i="14"/>
  <c r="J31" i="14" s="1"/>
  <c r="K24" i="14"/>
  <c r="K30" i="14" s="1"/>
  <c r="L24" i="14"/>
  <c r="L30" i="14" s="1"/>
  <c r="M24" i="14"/>
  <c r="M30" i="14" s="1"/>
  <c r="N24" i="14"/>
  <c r="N30" i="14" s="1"/>
  <c r="O24" i="14"/>
  <c r="E19" i="14"/>
  <c r="G18" i="14"/>
  <c r="H18" i="14"/>
  <c r="I18" i="14"/>
  <c r="J18" i="14"/>
  <c r="K18" i="14"/>
  <c r="L18" i="14"/>
  <c r="M18" i="14"/>
  <c r="N18" i="14"/>
  <c r="O18" i="14"/>
  <c r="J30" i="14" l="1"/>
  <c r="I30" i="14"/>
  <c r="H30" i="14"/>
  <c r="O31" i="14"/>
  <c r="L31" i="14"/>
  <c r="N31" i="14"/>
  <c r="M31" i="14"/>
  <c r="O30" i="14"/>
  <c r="K31" i="14"/>
  <c r="G30" i="14"/>
  <c r="G31" i="14"/>
  <c r="F31" i="14"/>
  <c r="E31" i="14"/>
  <c r="H13" i="3"/>
  <c r="M23" i="14"/>
  <c r="M27" i="14" s="1"/>
  <c r="N23" i="14"/>
  <c r="N27" i="14" s="1"/>
  <c r="O23" i="14"/>
  <c r="O27" i="14" s="1"/>
  <c r="H47" i="12" l="1"/>
  <c r="I47" i="12" s="1"/>
  <c r="I44" i="12"/>
  <c r="O40" i="14" l="1"/>
  <c r="N40" i="14"/>
  <c r="M40" i="14"/>
  <c r="L40" i="14"/>
  <c r="K40" i="14"/>
  <c r="J40" i="14"/>
  <c r="L23" i="14" l="1"/>
  <c r="L27" i="14" s="1"/>
  <c r="K23" i="14"/>
  <c r="K27" i="14" s="1"/>
  <c r="J23" i="14"/>
  <c r="J27" i="14" s="1"/>
  <c r="A17" i="12" l="1"/>
  <c r="H10" i="3" l="1"/>
  <c r="N53" i="12" l="1"/>
  <c r="N52" i="12"/>
  <c r="N51" i="12"/>
  <c r="N50" i="12"/>
  <c r="N49" i="12"/>
  <c r="N48" i="12"/>
  <c r="N47" i="12"/>
  <c r="N44" i="12"/>
  <c r="H67" i="12"/>
  <c r="I67" i="12" s="1"/>
  <c r="F67" i="12"/>
  <c r="A67" i="12"/>
  <c r="F66" i="12"/>
  <c r="F65" i="12"/>
  <c r="F64" i="12"/>
  <c r="F63" i="12"/>
  <c r="F62" i="12"/>
  <c r="I59" i="12"/>
  <c r="F59" i="12"/>
  <c r="A65" i="12"/>
  <c r="A66" i="12" s="1"/>
  <c r="H58" i="12"/>
  <c r="I58" i="12" s="1"/>
  <c r="F58" i="12"/>
  <c r="H53" i="12"/>
  <c r="I53" i="12" s="1"/>
  <c r="F53" i="12"/>
  <c r="H52" i="12"/>
  <c r="I52" i="12" s="1"/>
  <c r="F52" i="12"/>
  <c r="A52" i="12"/>
  <c r="A53" i="12" s="1"/>
  <c r="H51" i="12"/>
  <c r="I51" i="12" s="1"/>
  <c r="F51" i="12"/>
  <c r="A51" i="12"/>
  <c r="H50" i="12"/>
  <c r="I50" i="12" s="1"/>
  <c r="F50" i="12"/>
  <c r="A50" i="12"/>
  <c r="H49" i="12"/>
  <c r="I49" i="12" s="1"/>
  <c r="F49" i="12"/>
  <c r="H48" i="12"/>
  <c r="I48" i="12" s="1"/>
  <c r="F48" i="12"/>
  <c r="F47" i="12"/>
  <c r="A45" i="12"/>
  <c r="A46" i="12" s="1"/>
  <c r="A47" i="12" s="1"/>
  <c r="A48" i="12" s="1"/>
  <c r="A49" i="12" s="1"/>
  <c r="F44" i="12"/>
  <c r="I54" i="12" l="1"/>
  <c r="I68" i="12"/>
  <c r="H68" i="12"/>
  <c r="H54" i="12"/>
  <c r="S68" i="12" l="1"/>
  <c r="C15" i="3"/>
  <c r="T68" i="12"/>
  <c r="S54" i="12"/>
  <c r="C14" i="3"/>
  <c r="T54" i="12"/>
  <c r="H39" i="12"/>
  <c r="I39" i="12" s="1"/>
  <c r="F39" i="12"/>
  <c r="H38" i="12"/>
  <c r="I38" i="12" s="1"/>
  <c r="F38" i="12"/>
  <c r="H37" i="12"/>
  <c r="I37" i="12" s="1"/>
  <c r="F37" i="12"/>
  <c r="H36" i="12"/>
  <c r="I36" i="12" s="1"/>
  <c r="F36" i="12"/>
  <c r="H35" i="12"/>
  <c r="I35" i="12" s="1"/>
  <c r="F35" i="12"/>
  <c r="H33" i="12"/>
  <c r="I33" i="12" s="1"/>
  <c r="F33" i="12"/>
  <c r="H32" i="12"/>
  <c r="I32" i="12" s="1"/>
  <c r="F32" i="12"/>
  <c r="I31" i="12"/>
  <c r="F31" i="12"/>
  <c r="A39" i="12"/>
  <c r="I30" i="12"/>
  <c r="F30" i="12"/>
  <c r="I40" i="12" l="1"/>
  <c r="H40" i="12"/>
  <c r="F20" i="12"/>
  <c r="H20" i="12" s="1"/>
  <c r="I20" i="12" s="1"/>
  <c r="N20" i="12"/>
  <c r="H21" i="12"/>
  <c r="I21" i="12" s="1"/>
  <c r="H22" i="12"/>
  <c r="I22" i="12" s="1"/>
  <c r="H23" i="12"/>
  <c r="I23" i="12" s="1"/>
  <c r="H24" i="12"/>
  <c r="I24" i="12" s="1"/>
  <c r="H25" i="12"/>
  <c r="I25" i="12" s="1"/>
  <c r="H19" i="12"/>
  <c r="I19" i="12" s="1"/>
  <c r="I17" i="12"/>
  <c r="H18" i="12"/>
  <c r="I18" i="12" s="1"/>
  <c r="S40" i="12" l="1"/>
  <c r="C13" i="3"/>
  <c r="T40" i="12"/>
  <c r="E40" i="14"/>
  <c r="F40" i="14"/>
  <c r="G40" i="14"/>
  <c r="H40" i="14"/>
  <c r="I40" i="14"/>
  <c r="D40" i="14"/>
  <c r="E38" i="14"/>
  <c r="F38" i="14"/>
  <c r="G38" i="14"/>
  <c r="H38" i="14"/>
  <c r="I38" i="14"/>
  <c r="J38" i="14"/>
  <c r="K38" i="14"/>
  <c r="L38" i="14"/>
  <c r="M38" i="14"/>
  <c r="N38" i="14"/>
  <c r="O38" i="14"/>
  <c r="D38" i="14"/>
  <c r="D24" i="14" l="1"/>
  <c r="I23" i="14"/>
  <c r="I27" i="14" s="1"/>
  <c r="H23" i="14"/>
  <c r="H27" i="14" s="1"/>
  <c r="G23" i="14"/>
  <c r="G27" i="14" s="1"/>
  <c r="F23" i="14"/>
  <c r="F27" i="14" s="1"/>
  <c r="E23" i="14"/>
  <c r="E27" i="14" s="1"/>
  <c r="D23" i="14"/>
  <c r="D19" i="14"/>
  <c r="D18" i="14"/>
  <c r="O28" i="14" l="1"/>
  <c r="L28" i="14"/>
  <c r="N28" i="14"/>
  <c r="M28" i="14"/>
  <c r="H28" i="14"/>
  <c r="J28" i="14"/>
  <c r="I28" i="14"/>
  <c r="K28" i="14"/>
  <c r="D31" i="14"/>
  <c r="F28" i="14"/>
  <c r="G28" i="14"/>
  <c r="E28" i="14"/>
  <c r="D28" i="14"/>
  <c r="D27" i="14"/>
  <c r="D30" i="14"/>
  <c r="A2" i="9" l="1"/>
  <c r="A24" i="12" l="1"/>
  <c r="N21" i="12"/>
  <c r="N22" i="12"/>
  <c r="N23" i="12"/>
  <c r="F21" i="12"/>
  <c r="F22" i="12"/>
  <c r="F23" i="12" l="1"/>
  <c r="F24" i="12"/>
  <c r="F25" i="12"/>
  <c r="I16" i="12"/>
  <c r="I26" i="12" s="1"/>
  <c r="N25" i="12" l="1"/>
  <c r="N24" i="12"/>
  <c r="N19" i="12"/>
  <c r="N18" i="12"/>
  <c r="N17" i="12"/>
  <c r="N16" i="12"/>
  <c r="A18" i="12" l="1"/>
  <c r="E22" i="13" l="1"/>
  <c r="E20" i="13"/>
  <c r="B20" i="13"/>
  <c r="B22" i="13"/>
  <c r="A25" i="12" l="1"/>
  <c r="A19" i="12"/>
  <c r="A20" i="12" l="1"/>
  <c r="A21" i="12" s="1"/>
  <c r="A22" i="12" s="1"/>
  <c r="A23" i="12" s="1"/>
  <c r="C20" i="13"/>
  <c r="F20" i="13"/>
  <c r="C25" i="13"/>
  <c r="F25" i="13"/>
  <c r="AB5" i="13"/>
  <c r="AE5" i="13"/>
  <c r="AH5" i="13"/>
  <c r="AK5" i="13"/>
  <c r="AN5" i="13"/>
  <c r="AQ5" i="13"/>
  <c r="C14" i="13"/>
  <c r="C15" i="13"/>
  <c r="I12" i="13" l="1"/>
  <c r="I14" i="13"/>
  <c r="D7" i="3" s="1"/>
  <c r="AA14" i="13"/>
  <c r="D7" i="4" s="1"/>
  <c r="X14" i="13"/>
  <c r="D6" i="4" s="1"/>
  <c r="AJ7" i="13"/>
  <c r="F10" i="4" s="1"/>
  <c r="Q7" i="13"/>
  <c r="AG7" i="13"/>
  <c r="F9" i="4" s="1"/>
  <c r="O7" i="13"/>
  <c r="M7" i="13"/>
  <c r="K7" i="13"/>
  <c r="AD7" i="13"/>
  <c r="F8" i="4" s="1"/>
  <c r="I7" i="13"/>
  <c r="AJ14" i="13"/>
  <c r="D10" i="4" s="1"/>
  <c r="AA7" i="13"/>
  <c r="F7" i="4" s="1"/>
  <c r="AG14" i="13"/>
  <c r="D9" i="4" s="1"/>
  <c r="X7" i="13"/>
  <c r="F6" i="4" s="1"/>
  <c r="AD14" i="13"/>
  <c r="D8" i="4" s="1"/>
  <c r="AA12" i="13"/>
  <c r="D12" i="4" s="1"/>
  <c r="AD12" i="13"/>
  <c r="D13" i="4" s="1"/>
  <c r="X12" i="13"/>
  <c r="D11" i="4" s="1"/>
  <c r="AP12" i="13"/>
  <c r="AJ12" i="13"/>
  <c r="AM12" i="13"/>
  <c r="D15" i="4" s="1"/>
  <c r="AG12" i="13"/>
  <c r="D14" i="4" s="1"/>
  <c r="I5" i="13"/>
  <c r="C22" i="13"/>
  <c r="O5" i="13"/>
  <c r="H14" i="4" s="1"/>
  <c r="F22" i="13"/>
  <c r="AA5" i="13"/>
  <c r="F12" i="4" s="1"/>
  <c r="M5" i="13"/>
  <c r="H13" i="4" s="1"/>
  <c r="F27" i="13"/>
  <c r="AM5" i="13"/>
  <c r="C27" i="13"/>
  <c r="AG5" i="13"/>
  <c r="F14" i="4" s="1"/>
  <c r="X5" i="13"/>
  <c r="F11" i="4" s="1"/>
  <c r="U5" i="13"/>
  <c r="Q12" i="13"/>
  <c r="K12" i="13"/>
  <c r="D13" i="3" s="1"/>
  <c r="S12" i="13"/>
  <c r="M12" i="13"/>
  <c r="D14" i="3" s="1"/>
  <c r="U12" i="13"/>
  <c r="O12" i="13"/>
  <c r="D15" i="3" s="1"/>
  <c r="AP5" i="13"/>
  <c r="AJ5" i="13"/>
  <c r="AD5" i="13"/>
  <c r="F13" i="4" s="1"/>
  <c r="S5" i="13"/>
  <c r="K5" i="13"/>
  <c r="H12" i="4" s="1"/>
  <c r="Q5" i="13"/>
  <c r="I42" i="2"/>
  <c r="I56" i="1"/>
  <c r="D12" i="3" l="1"/>
  <c r="Q14" i="13"/>
  <c r="D11" i="3" s="1"/>
  <c r="O14" i="13"/>
  <c r="D10" i="3" s="1"/>
  <c r="M14" i="13"/>
  <c r="K14" i="13"/>
  <c r="D8" i="3" s="1"/>
  <c r="D16" i="4"/>
  <c r="F16" i="4"/>
  <c r="D9" i="3" l="1"/>
  <c r="A2" i="4"/>
  <c r="A13" i="2"/>
  <c r="A13" i="1"/>
  <c r="A2" i="3"/>
  <c r="D17" i="3" l="1"/>
  <c r="H26" i="12"/>
  <c r="K3" i="12" s="1"/>
  <c r="K6" i="12" s="1"/>
  <c r="C12" i="3" l="1"/>
  <c r="H11" i="4" s="1"/>
  <c r="H16" i="4" s="1"/>
  <c r="T77" i="12"/>
  <c r="T79" i="12" s="1"/>
  <c r="T26" i="12"/>
  <c r="S26" i="12"/>
  <c r="K8" i="12"/>
  <c r="H5" i="3" l="1"/>
  <c r="H6" i="3" s="1"/>
  <c r="C17" i="3"/>
  <c r="F17" i="4"/>
  <c r="D17" i="4" l="1"/>
  <c r="H1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lbily1 on EHMJWALND</author>
  </authors>
  <commentList>
    <comment ref="E15" authorId="0" shapeId="0" xr:uid="{00000000-0006-0000-0800-000001000000}">
      <text>
        <r>
          <rPr>
            <b/>
            <sz val="9"/>
            <color indexed="81"/>
            <rFont val="Tahoma"/>
            <family val="2"/>
          </rPr>
          <t>- 2 ROTORS: Use Bpoly in ACAD to measure area
- 4 ROTORS: Use 26.25' wide * length for 1st pass and 20' wide * length for side pass</t>
        </r>
      </text>
    </comment>
    <comment ref="G15" authorId="0" shapeId="0" xr:uid="{00000000-0006-0000-0800-000002000000}">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15" authorId="0" shapeId="0" xr:uid="{00000000-0006-0000-0800-000003000000}">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15" authorId="0" shapeId="0" xr:uid="{00000000-0006-0000-0800-000004000000}">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15" authorId="0" shapeId="0" xr:uid="{00000000-0006-0000-0800-000005000000}">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29" authorId="0" shapeId="0" xr:uid="{00000000-0006-0000-0800-000006000000}">
      <text>
        <r>
          <rPr>
            <b/>
            <sz val="9"/>
            <color indexed="81"/>
            <rFont val="Tahoma"/>
            <family val="2"/>
          </rPr>
          <t>- 2 ROTORS: Use Bpoly in ACAD to measure area
- 4 ROTORS: Use 26.25' wide * length for 1st pass and 20' wide * length for side pass</t>
        </r>
      </text>
    </comment>
    <comment ref="G29" authorId="0" shapeId="0" xr:uid="{00000000-0006-0000-0800-000007000000}">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29" authorId="0" shapeId="0" xr:uid="{00000000-0006-0000-0800-000008000000}">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29" authorId="0" shapeId="0" xr:uid="{00000000-0006-0000-0800-000009000000}">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29" authorId="0" shapeId="0" xr:uid="{00000000-0006-0000-0800-00000A000000}">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43" authorId="0" shapeId="0" xr:uid="{00000000-0006-0000-0800-00000B000000}">
      <text>
        <r>
          <rPr>
            <b/>
            <sz val="9"/>
            <color indexed="81"/>
            <rFont val="Tahoma"/>
            <family val="2"/>
          </rPr>
          <t>- 2 ROTORS: Use Bpoly in ACAD to measure area
- 4 ROTORS: Use 26.25' wide * length for 1st pass and 20' wide * length for side pass</t>
        </r>
      </text>
    </comment>
    <comment ref="G43" authorId="0" shapeId="0" xr:uid="{00000000-0006-0000-0800-00000C000000}">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43" authorId="0" shapeId="0" xr:uid="{00000000-0006-0000-0800-00000D000000}">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43" authorId="0" shapeId="0" xr:uid="{00000000-0006-0000-0800-00000E000000}">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43" authorId="0" shapeId="0" xr:uid="{00000000-0006-0000-0800-00000F000000}">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57" authorId="0" shapeId="0" xr:uid="{00000000-0006-0000-0800-000010000000}">
      <text>
        <r>
          <rPr>
            <b/>
            <sz val="9"/>
            <color indexed="81"/>
            <rFont val="Tahoma"/>
            <family val="2"/>
          </rPr>
          <t>- 2 ROTORS: Use Bpoly in ACAD to measure area
- 4 ROTORS: Use 26.25' wide * length for 1st pass and 20' wide * length for side pass</t>
        </r>
      </text>
    </comment>
    <comment ref="G57" authorId="0" shapeId="0" xr:uid="{00000000-0006-0000-0800-000011000000}">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57" authorId="0" shapeId="0" xr:uid="{00000000-0006-0000-0800-000012000000}">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57" authorId="0" shapeId="0" xr:uid="{00000000-0006-0000-0800-000013000000}">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57" authorId="0" shapeId="0" xr:uid="{00000000-0006-0000-0800-000014000000}">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71" authorId="0" shapeId="0" xr:uid="{00000000-0006-0000-0800-000015000000}">
      <text>
        <r>
          <rPr>
            <b/>
            <sz val="9"/>
            <color indexed="81"/>
            <rFont val="Tahoma"/>
            <family val="2"/>
          </rPr>
          <t>- 2 ROTORS: Use Bpoly in ACAD to measure area
- 4 ROTORS: Use 26.25' wide * length for 1st pass and 20' wide * length for side pass</t>
        </r>
      </text>
    </comment>
    <comment ref="G71" authorId="0" shapeId="0" xr:uid="{00000000-0006-0000-0800-000016000000}">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71" authorId="0" shapeId="0" xr:uid="{00000000-0006-0000-0800-000017000000}">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71" authorId="0" shapeId="0" xr:uid="{00000000-0006-0000-0800-000018000000}">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71" authorId="0" shapeId="0" xr:uid="{00000000-0006-0000-0800-000019000000}">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85" authorId="0" shapeId="0" xr:uid="{6D6A55F8-A63F-455F-9C75-E6972B016DD0}">
      <text>
        <r>
          <rPr>
            <b/>
            <sz val="9"/>
            <color indexed="81"/>
            <rFont val="Tahoma"/>
            <family val="2"/>
          </rPr>
          <t>- 2 ROTORS: Use Bpoly in ACAD to measure area
- 4 ROTORS: Use 26.25' wide * length for 1st pass and 20' wide * length for side pass</t>
        </r>
      </text>
    </comment>
    <comment ref="G85" authorId="0" shapeId="0" xr:uid="{EDEF38B4-68E1-47D3-AB3E-F98EE2C4D8C8}">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85" authorId="0" shapeId="0" xr:uid="{37DF6F76-6537-4992-A373-12BAFBC68E10}">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85" authorId="0" shapeId="0" xr:uid="{6C5DD0D3-669A-44B4-BC26-6B8B7AEC3463}">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85" authorId="0" shapeId="0" xr:uid="{152B1C8C-4B70-428E-8652-D79B5EE9ADAE}">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101" authorId="0" shapeId="0" xr:uid="{2FD37DA6-0038-48C5-B41B-29BDA8984B19}">
      <text>
        <r>
          <rPr>
            <b/>
            <sz val="9"/>
            <color indexed="81"/>
            <rFont val="Tahoma"/>
            <family val="2"/>
          </rPr>
          <t>- 2 ROTORS: Use Bpoly in ACAD to measure area
- 4 ROTORS: Use 26.25' wide * length for 1st pass and 20' wide * length for side pass</t>
        </r>
      </text>
    </comment>
    <comment ref="G101" authorId="0" shapeId="0" xr:uid="{FBD1D79C-5F27-42EA-ACAF-82F537EA9725}">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101" authorId="0" shapeId="0" xr:uid="{510DE9C8-D384-4A88-AAA1-51243D553F06}">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101" authorId="0" shapeId="0" xr:uid="{523BAE35-6A50-4A0B-A687-173A7CBCC1E0}">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101" authorId="0" shapeId="0" xr:uid="{69635CC8-B860-49C5-A6C3-CB5253976084}">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117" authorId="0" shapeId="0" xr:uid="{F20C07C0-C1CA-4D4D-ACA8-D1FA9B994220}">
      <text>
        <r>
          <rPr>
            <b/>
            <sz val="9"/>
            <color indexed="81"/>
            <rFont val="Tahoma"/>
            <family val="2"/>
          </rPr>
          <t>- 2 ROTORS: Use Bpoly in ACAD to measure area
- 4 ROTORS: Use 26.25' wide * length for 1st pass and 20' wide * length for side pass</t>
        </r>
      </text>
    </comment>
    <comment ref="G117" authorId="0" shapeId="0" xr:uid="{2CA2BD29-C989-46D2-8D1D-1EDA4FF700D9}">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117" authorId="0" shapeId="0" xr:uid="{BE5C4606-CBB6-4825-A812-3E6A838FF818}">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117" authorId="0" shapeId="0" xr:uid="{1B32A5AD-0661-41D7-9192-0E9465FACC26}">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117" authorId="0" shapeId="0" xr:uid="{4B81691E-614A-4D1B-AA97-945329445714}">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 ref="E133" authorId="0" shapeId="0" xr:uid="{7D3FBB2E-5609-4FE8-A245-47458C81920D}">
      <text>
        <r>
          <rPr>
            <b/>
            <sz val="9"/>
            <color indexed="81"/>
            <rFont val="Tahoma"/>
            <family val="2"/>
          </rPr>
          <t>- 2 ROTORS: Use Bpoly in ACAD to measure area
- 4 ROTORS: Use 26.25' wide * length for 1st pass and 20' wide * length for side pass</t>
        </r>
      </text>
    </comment>
    <comment ref="G133" authorId="0" shapeId="0" xr:uid="{B9803966-295D-4EDE-BFD9-C7A40AC1AC39}">
      <text>
        <r>
          <rPr>
            <b/>
            <sz val="9"/>
            <color indexed="81"/>
            <rFont val="Tahoma"/>
            <family val="2"/>
          </rPr>
          <t>F = FULL (BOTH edges of pass are rounded out ie: cutting that includes 1st pass)
S = SIDE (only ONE edge of the pass is rounded out ie: 2nd or 3rd pass for 4 rotors or 2nd - 7th pass leftover from last jump in last month end calcs for 2 rotors)</t>
        </r>
      </text>
    </comment>
    <comment ref="K133" authorId="0" shapeId="0" xr:uid="{245CD890-356B-450E-87F1-A26B8625CD1F}">
      <text>
        <r>
          <rPr>
            <b/>
            <sz val="9"/>
            <color indexed="81"/>
            <rFont val="Tahoma"/>
            <family val="2"/>
          </rPr>
          <t xml:space="preserve">Units 1, 2 and 3 can be selected from the drop down list.
Refer to the unit boundaries shown in "Esterhazy Mineral Rights Master Drawing" (xreferenced to the planning drawing) to determine the correct unit.
NOTE: If the tons are cut inside a privately leased mineral rights area, leave the Unit column blank and select the section and owner from the drop down list in the adjacent columns
</t>
        </r>
      </text>
    </comment>
    <comment ref="L133" authorId="0" shapeId="0" xr:uid="{7F6CF31B-BD1A-417D-B87E-5F67B0858DE6}">
      <text>
        <r>
          <rPr>
            <b/>
            <sz val="9"/>
            <color indexed="81"/>
            <rFont val="Tahoma"/>
            <family val="2"/>
          </rPr>
          <t xml:space="preserve">NOTE: If the tons are not cut inside a privately leased mineral area, leave the Section and Owner cells blank and select the Unit from the drop down list in the adjacent column
</t>
        </r>
      </text>
    </comment>
    <comment ref="M133" authorId="0" shapeId="0" xr:uid="{B6DDA445-BE64-465D-BDAE-D429B1E7BFAE}">
      <text>
        <r>
          <rPr>
            <b/>
            <sz val="9"/>
            <color indexed="81"/>
            <rFont val="Tahoma"/>
            <family val="2"/>
          </rPr>
          <t xml:space="preserve">Owners that exist inside of our current mine workings can be selected from the drop down list.
Refer to the unit boundaries shown in "Esterhazy Mineral Rights Master Drawing" (xreferenced to the planning drawing) to determine the correct owner.
NOTE: If the tons are not cut inside a privately leased mineral area, leave the Section and Owner cells blank and select the Unit from the drop down list in the adjacent columns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lbily1 on EHPB44GMN</author>
    <author>lbily1 on EHMJWALND</author>
  </authors>
  <commentList>
    <comment ref="C14" authorId="0" shapeId="0" xr:uid="{00000000-0006-0000-0A00-000001000000}">
      <text>
        <r>
          <rPr>
            <b/>
            <sz val="9"/>
            <color indexed="81"/>
            <rFont val="Tahoma"/>
            <family val="2"/>
          </rPr>
          <t>lbily1 on EHPB44GMN:</t>
        </r>
        <r>
          <rPr>
            <sz val="9"/>
            <color indexed="81"/>
            <rFont val="Tahoma"/>
            <family val="2"/>
          </rPr>
          <t xml:space="preserve">
First day of Month (Taken from Take Off Sheet and used for Monthly Calculations)</t>
        </r>
      </text>
    </comment>
    <comment ref="C15" authorId="1" shapeId="0" xr:uid="{00000000-0006-0000-0A00-000002000000}">
      <text>
        <r>
          <rPr>
            <b/>
            <sz val="9"/>
            <color indexed="81"/>
            <rFont val="Tahoma"/>
            <family val="2"/>
          </rPr>
          <t>lbily1 on EHMJWALND:</t>
        </r>
        <r>
          <rPr>
            <sz val="9"/>
            <color indexed="81"/>
            <rFont val="Tahoma"/>
            <family val="2"/>
          </rPr>
          <t xml:space="preserve">
First Day of Year 
(Taken from Take Off Sheet and used for YTD calculations)</t>
        </r>
      </text>
    </comment>
  </commentList>
</comments>
</file>

<file path=xl/sharedStrings.xml><?xml version="1.0" encoding="utf-8"?>
<sst xmlns="http://schemas.openxmlformats.org/spreadsheetml/2006/main" count="1690" uniqueCount="565">
  <si>
    <t>MONTHLY EXCAVATED TONNAGE CALCULATIONS</t>
  </si>
  <si>
    <t>Date</t>
  </si>
  <si>
    <t>COPIES TO:</t>
  </si>
  <si>
    <t>Report Issue Date:</t>
  </si>
  <si>
    <t>Issued By:</t>
  </si>
  <si>
    <t>MONTHLY ROYALTY CALCULATIONS</t>
  </si>
  <si>
    <t>1)</t>
  </si>
  <si>
    <t>2)</t>
  </si>
  <si>
    <t>3)</t>
  </si>
  <si>
    <t>4)</t>
  </si>
  <si>
    <t>5)</t>
  </si>
  <si>
    <t>NORMA HERNANDEZ</t>
  </si>
  <si>
    <t>ALYSIA NESS</t>
  </si>
  <si>
    <t>6)</t>
  </si>
  <si>
    <t>7)</t>
  </si>
  <si>
    <t>Miner</t>
  </si>
  <si>
    <t>Month</t>
  </si>
  <si>
    <t>Year To Date</t>
  </si>
  <si>
    <t>Tonnage % By Miner This Month</t>
  </si>
  <si>
    <t>Development Tons</t>
  </si>
  <si>
    <t>Total Tons</t>
  </si>
  <si>
    <t>Active Miners</t>
  </si>
  <si>
    <t>DATE</t>
  </si>
  <si>
    <t>Location</t>
  </si>
  <si>
    <t>From</t>
  </si>
  <si>
    <t>To</t>
  </si>
  <si>
    <t>Area</t>
  </si>
  <si>
    <t>Length</t>
  </si>
  <si>
    <t>Rtons</t>
  </si>
  <si>
    <t>Ctons</t>
  </si>
  <si>
    <t>Non Unit</t>
  </si>
  <si>
    <t>Unit</t>
  </si>
  <si>
    <t>Section1</t>
  </si>
  <si>
    <t>Section2</t>
  </si>
  <si>
    <t>Owner</t>
  </si>
  <si>
    <t xml:space="preserve">Uncorrected </t>
  </si>
  <si>
    <t>Corrected</t>
  </si>
  <si>
    <t>MINER</t>
  </si>
  <si>
    <t>Yearly Miners - Used in Tonnage Calculations</t>
  </si>
  <si>
    <t>Monthly Miners - Used in Tonnage Calculations</t>
  </si>
  <si>
    <t>D/P</t>
  </si>
  <si>
    <t>Development Vs. Production</t>
  </si>
  <si>
    <t>D</t>
  </si>
  <si>
    <t>P</t>
  </si>
  <si>
    <t>Footage</t>
  </si>
  <si>
    <t xml:space="preserve">Case </t>
  </si>
  <si>
    <t xml:space="preserve">Section </t>
  </si>
  <si>
    <t>Case</t>
  </si>
  <si>
    <t>Prod/Dev</t>
  </si>
  <si>
    <t>Total</t>
  </si>
  <si>
    <t>Lana Bily</t>
  </si>
  <si>
    <t>AILEEN HEBERT</t>
  </si>
  <si>
    <t>Tons</t>
  </si>
  <si>
    <t>Uncorrected</t>
  </si>
  <si>
    <t>Report Issue Date</t>
  </si>
  <si>
    <t>First day of fiscal year (update anually)</t>
  </si>
  <si>
    <t>Items Use in Calculations</t>
  </si>
  <si>
    <t>Year</t>
  </si>
  <si>
    <t>Used in Royalty Calcs</t>
  </si>
  <si>
    <t>Used in Database Calcs</t>
  </si>
  <si>
    <t>N 21-21-32 W1</t>
  </si>
  <si>
    <t>Part LSD 1-23-21-32 W1</t>
  </si>
  <si>
    <t>Take Off Worksheet</t>
  </si>
  <si>
    <t>First day of report month (update monthly)</t>
  </si>
  <si>
    <t>Report Issued By</t>
  </si>
  <si>
    <t/>
  </si>
  <si>
    <t>TOTAL</t>
  </si>
  <si>
    <t>Tonnage % By Unit</t>
  </si>
  <si>
    <t>Bergman</t>
  </si>
  <si>
    <t>Van Sant</t>
  </si>
  <si>
    <t>Crown</t>
  </si>
  <si>
    <t>3) ENTER RECONCILLIATION REPORT DATA IN YELLOW</t>
  </si>
  <si>
    <t>2) UPDATE/CONFIRM INFORMATION IN YELLOW</t>
  </si>
  <si>
    <t>F or S</t>
  </si>
  <si>
    <t>Comment</t>
  </si>
  <si>
    <t>Production Tons</t>
  </si>
  <si>
    <t>Monthly Development Tons By Miner - Used in Tonnage Calculations</t>
  </si>
  <si>
    <t>Monthly Production Tons By Miner - Used in Tonnage Calculations</t>
  </si>
  <si>
    <t>S</t>
  </si>
  <si>
    <t>F</t>
  </si>
  <si>
    <t>4) Fill in data for yellow highlighted cells under each miner. Use Drop Down Lists where available and refer to comments in column headers for more info.</t>
  </si>
  <si>
    <t>Non-Unit</t>
  </si>
  <si>
    <t>Full/Side</t>
  </si>
  <si>
    <t>Total:</t>
  </si>
  <si>
    <t>January</t>
  </si>
  <si>
    <t>February</t>
  </si>
  <si>
    <t>March</t>
  </si>
  <si>
    <t>April</t>
  </si>
  <si>
    <t>May</t>
  </si>
  <si>
    <t>June</t>
  </si>
  <si>
    <t>July</t>
  </si>
  <si>
    <t>August</t>
  </si>
  <si>
    <t>September</t>
  </si>
  <si>
    <t>October</t>
  </si>
  <si>
    <t>November</t>
  </si>
  <si>
    <t>December</t>
  </si>
  <si>
    <t>Tagert 90 Metrics</t>
  </si>
  <si>
    <t>Monthly Tons (% Plan)</t>
  </si>
  <si>
    <t>Cumulative Tons (% Plan)</t>
  </si>
  <si>
    <t>Total Tons Monthly</t>
  </si>
  <si>
    <t>Production (% Total)</t>
  </si>
  <si>
    <t>Development (% Total)</t>
  </si>
  <si>
    <t>%</t>
  </si>
  <si>
    <t>Cumulative</t>
  </si>
  <si>
    <t>Planned Production</t>
  </si>
  <si>
    <t>Planned Development</t>
  </si>
  <si>
    <t>Actual Production</t>
  </si>
  <si>
    <t>Actual Development</t>
  </si>
  <si>
    <t>DO NOT PRINT  AREA BELOW - FOR CHART CREATION ONLY</t>
  </si>
  <si>
    <t>As of January 1st, 2018</t>
  </si>
  <si>
    <t>K-3 MINE</t>
  </si>
  <si>
    <t>P. GAUER</t>
  </si>
  <si>
    <t>B. MACLEOD</t>
  </si>
  <si>
    <t>A. YAREMCHUK</t>
  </si>
  <si>
    <t>K3 PRODUCTION / DEVELOPMENT TONS</t>
  </si>
  <si>
    <t>K3-MONTHLY ROYALTY REPORT</t>
  </si>
  <si>
    <t>K3 Adherence to Mine Plan - T90 Tonnage Goals</t>
  </si>
  <si>
    <t xml:space="preserve">K3 Mine Production / Development T90 Yearly Progression Chart </t>
  </si>
  <si>
    <t>K3 - EXCAVATED HISTORICAL MINING DATA</t>
  </si>
  <si>
    <t>E0</t>
  </si>
  <si>
    <t>S2</t>
  </si>
  <si>
    <t>Back Ht</t>
  </si>
  <si>
    <t xml:space="preserve">E3 </t>
  </si>
  <si>
    <t>E3 (S2:S4)</t>
  </si>
  <si>
    <t>E3 Chamfers</t>
  </si>
  <si>
    <t>E3 (S2:N0)</t>
  </si>
  <si>
    <t>N0 (Refuge Stn)</t>
  </si>
  <si>
    <t>E0 Widening</t>
  </si>
  <si>
    <t>Sylvite K20% (DMR)</t>
  </si>
  <si>
    <t>Total Month Tons</t>
  </si>
  <si>
    <t>Excavated Tons (Surveyed)</t>
  </si>
  <si>
    <t>S4 (E3:E0)</t>
  </si>
  <si>
    <t>S4 (E3:E6)</t>
  </si>
  <si>
    <t>End of Month</t>
  </si>
  <si>
    <t>Start of Month</t>
  </si>
  <si>
    <t>Change</t>
  </si>
  <si>
    <t>Not Commissioned</t>
  </si>
  <si>
    <t>Idle</t>
  </si>
  <si>
    <t>N0 (E3:E1)</t>
  </si>
  <si>
    <t>E3 (N0:N3)</t>
  </si>
  <si>
    <t>B. BACHTOLD</t>
  </si>
  <si>
    <t>K3-MONTHLY EXCAVATED TONNAGE REPORT</t>
  </si>
  <si>
    <t>N3 (E3:E6 Stub)</t>
  </si>
  <si>
    <t>N3 (E3:E0)</t>
  </si>
  <si>
    <t>E1 (N3:N6 Stub)</t>
  </si>
  <si>
    <t>N3 (E3:W3)</t>
  </si>
  <si>
    <t>E0 (N3:N6 Stub)</t>
  </si>
  <si>
    <t>N0/E3 Chamfers</t>
  </si>
  <si>
    <t>K3 EXCAVATED TONS:</t>
  </si>
  <si>
    <t>W3 (N3:N7 Stub)</t>
  </si>
  <si>
    <t>W3 (N3:N0 Stub)</t>
  </si>
  <si>
    <t>E0 (N3:N0 Stub)</t>
  </si>
  <si>
    <t>E0 (N3:N7 Stub)</t>
  </si>
  <si>
    <t>B. BOUTIN</t>
  </si>
  <si>
    <t>Line Up Room Trimming (Alpine)</t>
  </si>
  <si>
    <t>idle</t>
  </si>
  <si>
    <t>W3(N3:N7) Stub</t>
  </si>
  <si>
    <t>W3(N3:N0) Stub</t>
  </si>
  <si>
    <t>N3W3 Chamfers</t>
  </si>
  <si>
    <t>N3/W3 Floor</t>
  </si>
  <si>
    <t>S4 Back Trim</t>
  </si>
  <si>
    <t>E0 RUD Floor Trim</t>
  </si>
  <si>
    <t>Pump Station/E1</t>
  </si>
  <si>
    <t>E0(N3:N0) ramp</t>
  </si>
  <si>
    <t>E0(N3:N0)notch</t>
  </si>
  <si>
    <t>E0(N3:N0)level</t>
  </si>
  <si>
    <t>W3 (N3:N0)</t>
  </si>
  <si>
    <t>W3 / N0</t>
  </si>
  <si>
    <t>N0 (W3:E0)</t>
  </si>
  <si>
    <t>E3(N3:N7)</t>
  </si>
  <si>
    <t>N3(E3:E6)</t>
  </si>
  <si>
    <t>W3 Elec Slash</t>
  </si>
  <si>
    <t>N0 (W3:W6)</t>
  </si>
  <si>
    <t>N0 Safety Bay</t>
  </si>
  <si>
    <t>N0 Drive Site Floor</t>
  </si>
  <si>
    <t>N0 (W3:E0) Floor</t>
  </si>
  <si>
    <t>W3 (N3:N0) Floor</t>
  </si>
  <si>
    <t>S2 (E3:E6)</t>
  </si>
  <si>
    <t>S2 (E0:E3)</t>
  </si>
  <si>
    <t xml:space="preserve">Line Up Room </t>
  </si>
  <si>
    <t>W3 (N3:N7)</t>
  </si>
  <si>
    <t>N3 (W3:W7)</t>
  </si>
  <si>
    <t>E0 (N3:N7)</t>
  </si>
  <si>
    <t>E3 (N3;N7)</t>
  </si>
  <si>
    <t>E. STEVENSON</t>
  </si>
  <si>
    <t>Actual Mined Tons</t>
  </si>
  <si>
    <t xml:space="preserve">K3 Tons sent to K1 Mill </t>
  </si>
  <si>
    <t>% SYL K2O (DMR)</t>
  </si>
  <si>
    <t>E1 (N3:N7)</t>
  </si>
  <si>
    <t>W7 (N3:N0)</t>
  </si>
  <si>
    <t>N7 (W3:E0)</t>
  </si>
  <si>
    <t>N7 (W3:W9)</t>
  </si>
  <si>
    <t>E3 (N3:N7)</t>
  </si>
  <si>
    <t>N7 (E3:E0)</t>
  </si>
  <si>
    <t>N3 (W7:W9)</t>
  </si>
  <si>
    <t xml:space="preserve">W3 Stub </t>
  </si>
  <si>
    <t xml:space="preserve">N7 Lube Bay </t>
  </si>
  <si>
    <t>W9 (N3:N7)</t>
  </si>
  <si>
    <t>N3 (W7:W12)</t>
  </si>
  <si>
    <t>W9 (N3:N0)</t>
  </si>
  <si>
    <t>N3 (W7:W9) Floor</t>
  </si>
  <si>
    <t>N7 W Ramp</t>
  </si>
  <si>
    <t>N0 (W3:W7)</t>
  </si>
  <si>
    <t>N7 E Laydown</t>
  </si>
  <si>
    <t>E3 (N7:N13)</t>
  </si>
  <si>
    <t>Unit 3 (Sent to K2)</t>
  </si>
  <si>
    <t>W7(N3:N0)</t>
  </si>
  <si>
    <t>W7(N3:N0) Brow</t>
  </si>
  <si>
    <t>W7 Back Trim</t>
  </si>
  <si>
    <t>W9 (N7:N23)</t>
  </si>
  <si>
    <t>N16 (W9:W7)</t>
  </si>
  <si>
    <t>E3 (N13:N17)</t>
  </si>
  <si>
    <t>N13 (E3:E0)</t>
  </si>
  <si>
    <t>E3 back trim</t>
  </si>
  <si>
    <t>N0 (W7:W9)</t>
  </si>
  <si>
    <t>N3/W9 Int Floor</t>
  </si>
  <si>
    <t>N3 (W9:W12) Floor</t>
  </si>
  <si>
    <t>W9 (N3:N7) Floor</t>
  </si>
  <si>
    <t>W9 (N3:N0) Floor</t>
  </si>
  <si>
    <t>W7 Surge Top Floor</t>
  </si>
  <si>
    <t>W9 (N7:N4)</t>
  </si>
  <si>
    <t>W7 (N7:N16)</t>
  </si>
  <si>
    <t>E3 brow to N13</t>
  </si>
  <si>
    <t>N7 (E3:E0) 2nd lift</t>
  </si>
  <si>
    <t>E3 N(10:N13) ramp</t>
  </si>
  <si>
    <t>N7 W Laydown Floor</t>
  </si>
  <si>
    <t>E0 (N3:N10)</t>
  </si>
  <si>
    <t>E0/N7 Floor</t>
  </si>
  <si>
    <t>W9 (N16:N23)</t>
  </si>
  <si>
    <t>W7 (N3:N7)</t>
  </si>
  <si>
    <t>AQM 150</t>
  </si>
  <si>
    <t>N16 (W9:W12)</t>
  </si>
  <si>
    <t>E1 (N7:N10)</t>
  </si>
  <si>
    <t>N10 (E0:E3)</t>
  </si>
  <si>
    <t>N10 (E0:W3)</t>
  </si>
  <si>
    <t>W3N7 int</t>
  </si>
  <si>
    <t>W12 (N3:S1)</t>
  </si>
  <si>
    <t>W3N3 Int</t>
  </si>
  <si>
    <t>W3(N3:N7)</t>
  </si>
  <si>
    <t>W3(N3:N0)</t>
  </si>
  <si>
    <t>N3(W3:W7)</t>
  </si>
  <si>
    <t>N3(W3:E0)</t>
  </si>
  <si>
    <t>S1 (W12:W9)</t>
  </si>
  <si>
    <t>TMCC</t>
  </si>
  <si>
    <t>W12/S1</t>
  </si>
  <si>
    <t xml:space="preserve">8) </t>
  </si>
  <si>
    <t>9)</t>
  </si>
  <si>
    <t>J. LAKE</t>
  </si>
  <si>
    <t>A. HUNGLE</t>
  </si>
  <si>
    <t>N11 (W7:W9)</t>
  </si>
  <si>
    <t>E0 (N7:N13)</t>
  </si>
  <si>
    <t>N13 (E0:E3)</t>
  </si>
  <si>
    <t>N13 (E3:E6)</t>
  </si>
  <si>
    <t>N7 (E3:E0) Ramps</t>
  </si>
  <si>
    <t>W9 (N0:S1)</t>
  </si>
  <si>
    <t>W12 (N3:N0)</t>
  </si>
  <si>
    <t>N3 (W9:W12)</t>
  </si>
  <si>
    <t>N3 (W12:W15)</t>
  </si>
  <si>
    <t>Total Tons Hoisted (DMR)</t>
  </si>
  <si>
    <t>ANN BAYODE</t>
  </si>
  <si>
    <t>N7 (W3:W7)</t>
  </si>
  <si>
    <t>W3 (N7:N10)</t>
  </si>
  <si>
    <t>N10 (W3:E0)</t>
  </si>
  <si>
    <t>W9 (N0:N3)</t>
  </si>
  <si>
    <t>N0 (W9:W7)</t>
  </si>
  <si>
    <t>N0 (W7:W3)</t>
  </si>
  <si>
    <t>N0/W7</t>
  </si>
  <si>
    <t>W12 (N3:N17)</t>
  </si>
  <si>
    <t>W15 (N3:S7)</t>
  </si>
  <si>
    <t>W9 (N16:N25)</t>
  </si>
  <si>
    <t>variance%=</t>
  </si>
  <si>
    <t xml:space="preserve">10) </t>
  </si>
  <si>
    <t>C. BALL</t>
  </si>
  <si>
    <t>N13 (W3:E0)</t>
  </si>
  <si>
    <t>N23 (W3:W7)</t>
  </si>
  <si>
    <t>W7 (N23:N16)</t>
  </si>
  <si>
    <t>N23 (W9:W12)</t>
  </si>
  <si>
    <t>N23 (W9:W7)</t>
  </si>
  <si>
    <t>W7 (N23:N25)</t>
  </si>
  <si>
    <t>W9 (N23:N25)</t>
  </si>
  <si>
    <t>N25 (W7:W9)</t>
  </si>
  <si>
    <t>N25 (W9:W12)</t>
  </si>
  <si>
    <t>J. WEBER</t>
  </si>
  <si>
    <t>N25(W9:W12)</t>
  </si>
  <si>
    <t>W12(N25:N23)</t>
  </si>
  <si>
    <t>W12(N23:N16)</t>
  </si>
  <si>
    <t>N23/W7</t>
  </si>
  <si>
    <t>N23/W3</t>
  </si>
  <si>
    <t>E0(N23;N25)</t>
  </si>
  <si>
    <t>E0(N23:N17)</t>
  </si>
  <si>
    <t>N23(W3:E3)</t>
  </si>
  <si>
    <t>N23(E0:E6)</t>
  </si>
  <si>
    <t>N23(W9:W12)</t>
  </si>
  <si>
    <t>W9 4R Stub</t>
  </si>
  <si>
    <t>E3(N7:N13)</t>
  </si>
  <si>
    <t>N8 stub</t>
  </si>
  <si>
    <t>N10 stub</t>
  </si>
  <si>
    <t>N10 BT &amp; Elec</t>
  </si>
  <si>
    <t>W7 Decline</t>
  </si>
  <si>
    <t>W9 (N3:S7)</t>
  </si>
  <si>
    <t>N12 Stub W</t>
  </si>
  <si>
    <t>N12 Stub E</t>
  </si>
  <si>
    <t>W7 (N16:N23)</t>
  </si>
  <si>
    <t xml:space="preserve">W7 NCOB Top </t>
  </si>
  <si>
    <t>W9 Elec Slash</t>
  </si>
  <si>
    <t>4R#1: 969500</t>
  </si>
  <si>
    <t>DM#1: 968900</t>
  </si>
  <si>
    <t>DM#2: 968901</t>
  </si>
  <si>
    <t>DM#3: 968903</t>
  </si>
  <si>
    <t>DM#4: 968904</t>
  </si>
  <si>
    <t>Other</t>
  </si>
  <si>
    <t>W12 (N16:N23)</t>
  </si>
  <si>
    <t>W12 (N16:N7))</t>
  </si>
  <si>
    <t>W9/N16</t>
  </si>
  <si>
    <t>N25 (W7:E6)</t>
  </si>
  <si>
    <t>E0 (N23:N25)</t>
  </si>
  <si>
    <t>E6 (N25:N23)</t>
  </si>
  <si>
    <t>E6 (N23:N20)</t>
  </si>
  <si>
    <t>S7 (W9:W15)</t>
  </si>
  <si>
    <t>W15 (S7:N3)</t>
  </si>
  <si>
    <t>W12 (S7:S10)</t>
  </si>
  <si>
    <t>W7 NCOB Decline</t>
  </si>
  <si>
    <t>TMCC TOTAL =</t>
  </si>
  <si>
    <t xml:space="preserve">Our Total = </t>
  </si>
  <si>
    <t xml:space="preserve">Difference = </t>
  </si>
  <si>
    <t>11)</t>
  </si>
  <si>
    <t>B. SOKOLOSKI</t>
  </si>
  <si>
    <t>W7 Top NCOB</t>
  </si>
  <si>
    <t>W12 (N3:N16)</t>
  </si>
  <si>
    <t>N7 Stub</t>
  </si>
  <si>
    <t>N7 (W12:W9)</t>
  </si>
  <si>
    <t>W9 (S1:S4)</t>
  </si>
  <si>
    <t>N20 (E6:E3)</t>
  </si>
  <si>
    <t>E3 (N23:N13)</t>
  </si>
  <si>
    <t>N17 (E3:W3)</t>
  </si>
  <si>
    <t>W7 NCOB Bottom</t>
  </si>
  <si>
    <t>S7 (W9:E0)</t>
  </si>
  <si>
    <t>S7(E0:E3)</t>
  </si>
  <si>
    <t>S7 (E0:E3)</t>
  </si>
  <si>
    <t>E3 (S4:S7)</t>
  </si>
  <si>
    <t>S7 (E3:E6)</t>
  </si>
  <si>
    <t>KEN BYRNE</t>
  </si>
  <si>
    <t>N3 (W9:W15)</t>
  </si>
  <si>
    <t>W9 (S4:S7)</t>
  </si>
  <si>
    <t>S4 (W9:W7)</t>
  </si>
  <si>
    <t>N3 (W9:E1)</t>
  </si>
  <si>
    <t>E3 (N23:N25)</t>
  </si>
  <si>
    <t>E0 (N23:N13)</t>
  </si>
  <si>
    <t>W7 (S7:S20)</t>
  </si>
  <si>
    <t>N3 (W3:E3)</t>
  </si>
  <si>
    <t>E0/N3</t>
  </si>
  <si>
    <t>E1/N3</t>
  </si>
  <si>
    <t>E3/N3</t>
  </si>
  <si>
    <t>N3 (E3:E6)</t>
  </si>
  <si>
    <t>S7 (W7:W3)</t>
  </si>
  <si>
    <t>S7/W7</t>
  </si>
  <si>
    <t>W7 (S7:S4)</t>
  </si>
  <si>
    <t>W3 (S7:S4)</t>
  </si>
  <si>
    <t>S4 (W3:E0)</t>
  </si>
  <si>
    <t>W7 (N25:N67)</t>
  </si>
  <si>
    <t>W7 NCOB</t>
  </si>
  <si>
    <t>4R#2: 969501</t>
  </si>
  <si>
    <t>N3 (E3&amp;W3)</t>
  </si>
  <si>
    <t>W7(S7:S20)</t>
  </si>
  <si>
    <t>N3 (W9:E0)</t>
  </si>
  <si>
    <t>W7(S7:S4)</t>
  </si>
  <si>
    <t>Maintenance</t>
  </si>
  <si>
    <t>S4 (W3:W7)</t>
  </si>
  <si>
    <t>W9 (S7:S20)</t>
  </si>
  <si>
    <t>E6 (N20:S63)</t>
  </si>
  <si>
    <t>BT N64B</t>
  </si>
  <si>
    <t>N64 (W7:E39)</t>
  </si>
  <si>
    <t>W9/N61</t>
  </si>
  <si>
    <t>W15</t>
  </si>
  <si>
    <t>-</t>
  </si>
  <si>
    <t>N64/W7</t>
  </si>
  <si>
    <t>not online</t>
  </si>
  <si>
    <t>HOISTED (Weightometer) Tons from DMR:</t>
  </si>
  <si>
    <t>TONS sent to K1 Mill</t>
  </si>
  <si>
    <t>TONS sent to K2 Mill</t>
  </si>
  <si>
    <t>K3 Tons sent to K2 Mill</t>
  </si>
  <si>
    <t>W12 (N25:N67)</t>
  </si>
  <si>
    <t>W12/N67</t>
  </si>
  <si>
    <t>W12 Stub</t>
  </si>
  <si>
    <t>E6 (N20:S62)</t>
  </si>
  <si>
    <t>E6/S7</t>
  </si>
  <si>
    <t>W9 (N61:N25)</t>
  </si>
  <si>
    <t>BT N67A</t>
  </si>
  <si>
    <t>BT N67B</t>
  </si>
  <si>
    <t>BT N64A</t>
  </si>
  <si>
    <t>BT N61A</t>
  </si>
  <si>
    <t>BT N61B</t>
  </si>
  <si>
    <t>W9 (N25:N61)</t>
  </si>
  <si>
    <t>A</t>
  </si>
  <si>
    <t>Drum Miner</t>
  </si>
  <si>
    <t>9' 4R Miner</t>
  </si>
  <si>
    <t>CALCULATED CHANGE IN STOCK PILED TONS U/G</t>
  </si>
  <si>
    <t>4R#3: 969502</t>
  </si>
  <si>
    <t>4R#4: 969503</t>
  </si>
  <si>
    <t>4R#5: 969504</t>
  </si>
  <si>
    <t>Unit 3 (Sent to K1)</t>
  </si>
  <si>
    <t>W7/S4 Surge Top</t>
  </si>
  <si>
    <t>S20 (W9:W12)</t>
  </si>
  <si>
    <t>W9 (S20:S27)</t>
  </si>
  <si>
    <t>JD245G</t>
  </si>
  <si>
    <t>JD245</t>
  </si>
  <si>
    <t>N61 (W7:E39)</t>
  </si>
  <si>
    <t>N64 (W12:W68)</t>
  </si>
  <si>
    <t>E6 (S7:S4)</t>
  </si>
  <si>
    <t>E6 (N3:N20)</t>
  </si>
  <si>
    <t>E6 (S4:N3)</t>
  </si>
  <si>
    <t>E6/S4</t>
  </si>
  <si>
    <t>E6/N3</t>
  </si>
  <si>
    <t>E6/N20</t>
  </si>
  <si>
    <t>Anhydrite Storage (permanent)</t>
  </si>
  <si>
    <t xml:space="preserve">Stored Anhydrite (NOT hoisted): </t>
  </si>
  <si>
    <t>Area calc Checks</t>
  </si>
  <si>
    <t>vol</t>
  </si>
  <si>
    <t>density</t>
  </si>
  <si>
    <t>short tons</t>
  </si>
  <si>
    <t>Mar</t>
  </si>
  <si>
    <t>Planned (Forecast)</t>
  </si>
  <si>
    <t>JD Excavator</t>
  </si>
  <si>
    <t>W9/N67</t>
  </si>
  <si>
    <t>* All Stored in W15 - no plans to hoist</t>
  </si>
  <si>
    <t>E39/N61</t>
  </si>
  <si>
    <t>1st Pass</t>
  </si>
  <si>
    <t>BT W68A</t>
  </si>
  <si>
    <t>BT 39B</t>
  </si>
  <si>
    <t>BT W68B</t>
  </si>
  <si>
    <t>BT W65B</t>
  </si>
  <si>
    <t>BT W63B</t>
  </si>
  <si>
    <t>E6 (N25:N61)</t>
  </si>
  <si>
    <t>W7 South Surge</t>
  </si>
  <si>
    <t>Calculated Tons Hoisted:</t>
  </si>
  <si>
    <t>BT Slashes</t>
  </si>
  <si>
    <t>S19 (W9:W5)</t>
  </si>
  <si>
    <t>W5 (S19:S22)</t>
  </si>
  <si>
    <t>S22 (W9:W7)</t>
  </si>
  <si>
    <t>S22 (W7:W5)</t>
  </si>
  <si>
    <t>E1 (N3:N0)</t>
  </si>
  <si>
    <t>W7 (S7:S22)</t>
  </si>
  <si>
    <t>W15/S7</t>
  </si>
  <si>
    <t>all March tons cut in N3/E1 added to permanent anhy storage</t>
  </si>
  <si>
    <t>JD135</t>
  </si>
  <si>
    <t>N64E (W7:E39)</t>
  </si>
  <si>
    <t>BT E39A</t>
  </si>
  <si>
    <t>BT E36B</t>
  </si>
  <si>
    <t>BT E36A</t>
  </si>
  <si>
    <t>BT E34B</t>
  </si>
  <si>
    <t>BT E34A</t>
  </si>
  <si>
    <t>N64E/E36</t>
  </si>
  <si>
    <t>N67E (W7:E39)</t>
  </si>
  <si>
    <t>N64W Drive Site</t>
  </si>
  <si>
    <t>N61W (W12:W68)</t>
  </si>
  <si>
    <t>Elec Slash</t>
  </si>
  <si>
    <t>OTHER</t>
  </si>
  <si>
    <t>E1(N3:S4)</t>
  </si>
  <si>
    <t>N0(E1:E0)</t>
  </si>
  <si>
    <t>S22 Surge Top</t>
  </si>
  <si>
    <t>S22 (W9:W12)</t>
  </si>
  <si>
    <t>all April tons cut in sump access E1/North Shaft Tie in added to permanent anhy storage</t>
  </si>
  <si>
    <t>BT W43</t>
  </si>
  <si>
    <t>BT W31</t>
  </si>
  <si>
    <t>Alpine</t>
  </si>
  <si>
    <t>Stock Piled Anhydrite (Surveyed)</t>
  </si>
  <si>
    <t>N64E/E34</t>
  </si>
  <si>
    <t>BT E25B</t>
  </si>
  <si>
    <t>N64E Drive Site</t>
  </si>
  <si>
    <t>E36(N67:N121)</t>
  </si>
  <si>
    <t>DAVID COLORATO</t>
  </si>
  <si>
    <t>N67W (W12:W68)</t>
  </si>
  <si>
    <t>N64W (W12:W68)</t>
  </si>
  <si>
    <t>U/P 51 (south)</t>
  </si>
  <si>
    <t>BT W25A</t>
  </si>
  <si>
    <t>BT W63A</t>
  </si>
  <si>
    <t>BT W65A</t>
  </si>
  <si>
    <t>N64W Elec Slash</t>
  </si>
  <si>
    <t>N64W Transfer</t>
  </si>
  <si>
    <t>W9/N67 Wall Trim</t>
  </si>
  <si>
    <t>N64/W9 Ramp</t>
  </si>
  <si>
    <t>S22 SCOB TOP</t>
  </si>
  <si>
    <t>S4 South Surge Bottom</t>
  </si>
  <si>
    <t>E1 (N0:S4) Sump</t>
  </si>
  <si>
    <t>E1/N0 Sump</t>
  </si>
  <si>
    <t>W9 Wall Trim</t>
  </si>
  <si>
    <t>all May tons cut in sump access E1/North Shaft Tie in added to permanent anhy storage</t>
  </si>
  <si>
    <t>Stock Piled Tons (calculated)</t>
  </si>
  <si>
    <t>(Note: forecasted tons for May - Dec revised as per B. Macleod)</t>
  </si>
  <si>
    <t>12)</t>
  </si>
  <si>
    <t>N. BERNARDIN</t>
  </si>
  <si>
    <t>DMR (Esterhazy Site Summary)</t>
  </si>
  <si>
    <t>TOTAL TONS sent to Mill</t>
  </si>
  <si>
    <t>TOTAL:</t>
  </si>
  <si>
    <t>2nd Pass</t>
  </si>
  <si>
    <t>BT 105</t>
  </si>
  <si>
    <t>BT 106</t>
  </si>
  <si>
    <t>bpoly chk</t>
  </si>
  <si>
    <t>N64W(W68:W134)</t>
  </si>
  <si>
    <t>DET Partial Right Slash</t>
  </si>
  <si>
    <t>U/PW51 (north)</t>
  </si>
  <si>
    <t>W51 Ref Stn</t>
  </si>
  <si>
    <t>BTW38B</t>
  </si>
  <si>
    <t>W31N (N67:N121)</t>
  </si>
  <si>
    <t>E1 (N0:S4)</t>
  </si>
  <si>
    <t>24' wide x profile area</t>
  </si>
  <si>
    <t>slash at south shaft</t>
  </si>
  <si>
    <t>slash for south end vent door</t>
  </si>
  <si>
    <t>E1/S4</t>
  </si>
  <si>
    <t>W7D/S22</t>
  </si>
  <si>
    <t>SCOB bottom 2nd Lift</t>
  </si>
  <si>
    <t>W9/N64</t>
  </si>
  <si>
    <t>W9/S7</t>
  </si>
  <si>
    <t>Floor cutting</t>
  </si>
  <si>
    <t>W12 (S7:S1)</t>
  </si>
  <si>
    <t>Ramp and Brows</t>
  </si>
  <si>
    <t>Width</t>
  </si>
  <si>
    <t>Height</t>
  </si>
  <si>
    <t>900 W7DS Pile #1</t>
  </si>
  <si>
    <t xml:space="preserve">Stock piled muck (not hoisted): </t>
  </si>
  <si>
    <t>901 W12N Pile</t>
  </si>
  <si>
    <t>(full width at top)</t>
  </si>
  <si>
    <t>Volume</t>
  </si>
  <si>
    <t>all June tons cut in sump access E1/South Shaft Tie in added to permanent anhy storage</t>
  </si>
  <si>
    <t>SCOB Bottom 3rd Lift</t>
  </si>
  <si>
    <t>W7D/S23</t>
  </si>
  <si>
    <t>900 W7DS Pile #2</t>
  </si>
  <si>
    <t>includes additional floor cutting</t>
  </si>
  <si>
    <t>W9 floor cut under TC4</t>
  </si>
  <si>
    <t>W9 pillar under TC4</t>
  </si>
  <si>
    <t>W9 ramp outs</t>
  </si>
  <si>
    <t>N64 ramp cut under TC4</t>
  </si>
  <si>
    <t>W/15/S7/N3</t>
  </si>
  <si>
    <t>Access Ramp + Brows</t>
  </si>
  <si>
    <t xml:space="preserve">S4 tie in </t>
  </si>
  <si>
    <t>South Shaft Sump Tie in</t>
  </si>
  <si>
    <t>S22 SCOB</t>
  </si>
  <si>
    <t>finish 1st Pass</t>
  </si>
  <si>
    <t>2nd pass</t>
  </si>
  <si>
    <t>BT 103</t>
  </si>
  <si>
    <t>BT 104</t>
  </si>
  <si>
    <t>BT 102</t>
  </si>
  <si>
    <t>E36N Drive Site</t>
  </si>
  <si>
    <t>E34N (N67:N121)</t>
  </si>
  <si>
    <t>DET Left Slash</t>
  </si>
  <si>
    <t>1st Pass Stub</t>
  </si>
  <si>
    <t>Floor Cut</t>
  </si>
  <si>
    <t>Density = 11.17</t>
  </si>
  <si>
    <t>N61E (E39:E99)</t>
  </si>
  <si>
    <t>8.5' 4R Miner</t>
  </si>
  <si>
    <t>tons/ft</t>
  </si>
  <si>
    <t>20' side pass</t>
  </si>
  <si>
    <t>46.3' 2 Pass</t>
  </si>
  <si>
    <t>26.3' 1st Pass</t>
  </si>
  <si>
    <t>1st and 2nd Pass</t>
  </si>
  <si>
    <t>BT 44'</t>
  </si>
  <si>
    <t>1st and 2nd 46.3'</t>
  </si>
  <si>
    <t>1st Pass 26.8'</t>
  </si>
  <si>
    <t>2nd Pass 20'</t>
  </si>
  <si>
    <t>9' Miner</t>
  </si>
  <si>
    <t>8.5' Miner</t>
  </si>
  <si>
    <t>K3 - based on face areas in CAD</t>
  </si>
  <si>
    <t xml:space="preserve">K1/K2 - based on formula </t>
  </si>
  <si>
    <t>W12 (S7:S25)</t>
  </si>
  <si>
    <t xml:space="preserve"> Confirm month end face and update Bpoly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</si>
</sst>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d\-mmm\-yy;@"/>
    <numFmt numFmtId="166" formatCode="mmmm\ yyyy"/>
    <numFmt numFmtId="167" formatCode="[$-409]mmmm\-yy;@"/>
    <numFmt numFmtId="168" formatCode="_(* #,##0_);_(* \(#,##0\);_(* &quot;-&quot;??_);_(@_)"/>
    <numFmt numFmtId="169" formatCode="0.0"/>
  </numFmts>
  <fonts count="79" x14ac:knownFonts="1">
    <font>
      <sz val="11"/>
      <color theme="1"/>
      <name val="Calibri"/>
      <family val="2"/>
      <scheme val="minor"/>
    </font>
    <font>
      <b/>
      <i/>
      <u/>
      <sz val="18"/>
      <name val="Arial"/>
      <family val="2"/>
    </font>
    <font>
      <sz val="8"/>
      <color theme="1"/>
      <name val="Calibri"/>
      <family val="2"/>
      <scheme val="minor"/>
    </font>
    <font>
      <sz val="9"/>
      <color theme="1"/>
      <name val="Calibri"/>
      <family val="2"/>
      <scheme val="minor"/>
    </font>
    <font>
      <b/>
      <i/>
      <u/>
      <sz val="12"/>
      <name val="Arial"/>
      <family val="2"/>
    </font>
    <font>
      <sz val="12"/>
      <color theme="1"/>
      <name val="Calibri"/>
      <family val="2"/>
      <scheme val="minor"/>
    </font>
    <font>
      <b/>
      <i/>
      <u/>
      <sz val="16"/>
      <name val="Arial"/>
      <family val="2"/>
    </font>
    <font>
      <sz val="16"/>
      <color theme="1"/>
      <name val="Calibri"/>
      <family val="2"/>
      <scheme val="minor"/>
    </font>
    <font>
      <b/>
      <sz val="9"/>
      <name val="Arial"/>
      <family val="2"/>
    </font>
    <font>
      <b/>
      <sz val="9"/>
      <color theme="1"/>
      <name val="Calibri"/>
      <family val="2"/>
      <scheme val="minor"/>
    </font>
    <font>
      <b/>
      <i/>
      <sz val="10"/>
      <name val="Arial"/>
      <family val="2"/>
    </font>
    <font>
      <b/>
      <i/>
      <sz val="10"/>
      <color theme="1"/>
      <name val="Calibri"/>
      <family val="2"/>
      <scheme val="minor"/>
    </font>
    <font>
      <b/>
      <i/>
      <sz val="11"/>
      <color theme="1"/>
      <name val="Calibri"/>
      <family val="2"/>
      <scheme val="minor"/>
    </font>
    <font>
      <b/>
      <sz val="16"/>
      <name val="Arial"/>
      <family val="2"/>
    </font>
    <font>
      <sz val="11"/>
      <color theme="1"/>
      <name val="Arial"/>
      <family val="2"/>
    </font>
    <font>
      <b/>
      <i/>
      <sz val="16"/>
      <color theme="1"/>
      <name val="Arial"/>
      <family val="2"/>
    </font>
    <font>
      <b/>
      <sz val="11"/>
      <color theme="1"/>
      <name val="Arial"/>
      <family val="2"/>
    </font>
    <font>
      <b/>
      <u/>
      <sz val="11"/>
      <color theme="1"/>
      <name val="Arial"/>
      <family val="2"/>
    </font>
    <font>
      <b/>
      <sz val="11"/>
      <color theme="1"/>
      <name val="Calibri"/>
      <family val="2"/>
      <scheme val="minor"/>
    </font>
    <font>
      <sz val="14"/>
      <color theme="1"/>
      <name val="Arial"/>
      <family val="2"/>
    </font>
    <font>
      <b/>
      <i/>
      <sz val="11"/>
      <color rgb="FFFF0000"/>
      <name val="Arial"/>
      <family val="2"/>
    </font>
    <font>
      <sz val="10"/>
      <color theme="1"/>
      <name val="Calibri"/>
      <family val="2"/>
      <scheme val="minor"/>
    </font>
    <font>
      <b/>
      <i/>
      <sz val="16"/>
      <color theme="1"/>
      <name val="Calibri"/>
      <family val="2"/>
      <scheme val="minor"/>
    </font>
    <font>
      <b/>
      <u/>
      <sz val="11"/>
      <color theme="1"/>
      <name val="Calibri"/>
      <family val="2"/>
      <scheme val="minor"/>
    </font>
    <font>
      <sz val="11"/>
      <name val="Calibri"/>
      <family val="2"/>
      <scheme val="minor"/>
    </font>
    <font>
      <sz val="11"/>
      <color rgb="FF00B050"/>
      <name val="Calibri"/>
      <family val="2"/>
      <scheme val="minor"/>
    </font>
    <font>
      <b/>
      <sz val="11"/>
      <color rgb="FF0070C0"/>
      <name val="Calibri"/>
      <family val="2"/>
      <scheme val="minor"/>
    </font>
    <font>
      <b/>
      <i/>
      <sz val="14"/>
      <color theme="1"/>
      <name val="Arial"/>
      <family val="2"/>
    </font>
    <font>
      <b/>
      <sz val="10"/>
      <color theme="1"/>
      <name val="Calibri"/>
      <family val="2"/>
      <scheme val="minor"/>
    </font>
    <font>
      <b/>
      <sz val="12"/>
      <color theme="1"/>
      <name val="Calibri"/>
      <family val="2"/>
      <scheme val="minor"/>
    </font>
    <font>
      <i/>
      <sz val="10"/>
      <color theme="1"/>
      <name val="Calibri"/>
      <family val="2"/>
      <scheme val="minor"/>
    </font>
    <font>
      <sz val="11"/>
      <color theme="1"/>
      <name val="Calibri"/>
      <family val="2"/>
      <scheme val="minor"/>
    </font>
    <font>
      <sz val="10"/>
      <name val="Arial"/>
      <family val="2"/>
    </font>
    <font>
      <b/>
      <i/>
      <sz val="11"/>
      <color theme="1"/>
      <name val="Arial"/>
      <family val="2"/>
    </font>
    <font>
      <b/>
      <u/>
      <sz val="14"/>
      <color theme="1"/>
      <name val="Arial"/>
      <family val="2"/>
    </font>
    <font>
      <b/>
      <sz val="14"/>
      <color theme="1"/>
      <name val="Arial"/>
      <family val="2"/>
    </font>
    <font>
      <sz val="9"/>
      <color indexed="81"/>
      <name val="Tahoma"/>
      <family val="2"/>
    </font>
    <font>
      <b/>
      <sz val="9"/>
      <color indexed="81"/>
      <name val="Tahoma"/>
      <family val="2"/>
    </font>
    <font>
      <b/>
      <sz val="14"/>
      <color theme="1"/>
      <name val="Calibri"/>
      <family val="2"/>
      <scheme val="minor"/>
    </font>
    <font>
      <b/>
      <sz val="18"/>
      <color theme="1"/>
      <name val="Calibri"/>
      <family val="2"/>
      <scheme val="minor"/>
    </font>
    <font>
      <b/>
      <sz val="22"/>
      <color theme="1"/>
      <name val="Arial"/>
      <family val="2"/>
    </font>
    <font>
      <sz val="10"/>
      <color theme="1"/>
      <name val="Arial"/>
      <family val="2"/>
    </font>
    <font>
      <b/>
      <sz val="9"/>
      <color rgb="FF00B050"/>
      <name val="Arial"/>
      <family val="2"/>
    </font>
    <font>
      <b/>
      <sz val="12"/>
      <color theme="1"/>
      <name val="Arial"/>
      <family val="2"/>
    </font>
    <font>
      <sz val="12"/>
      <color theme="1"/>
      <name val="Arial"/>
      <family val="2"/>
    </font>
    <font>
      <b/>
      <sz val="11"/>
      <color rgb="FFFF0000"/>
      <name val="Arial"/>
      <family val="2"/>
    </font>
    <font>
      <b/>
      <sz val="11"/>
      <color rgb="FFFF0000"/>
      <name val="Calibri"/>
      <family val="2"/>
      <scheme val="minor"/>
    </font>
    <font>
      <sz val="15.4"/>
      <color rgb="FF363636"/>
      <name val="Segoe UI Light"/>
      <family val="2"/>
    </font>
    <font>
      <sz val="16"/>
      <color rgb="FFFF0000"/>
      <name val="Arial"/>
      <family val="2"/>
    </font>
    <font>
      <b/>
      <sz val="10"/>
      <color theme="1"/>
      <name val="Arial"/>
      <family val="2"/>
    </font>
    <font>
      <b/>
      <u/>
      <sz val="16"/>
      <color theme="1"/>
      <name val="Arial"/>
      <family val="2"/>
    </font>
    <font>
      <b/>
      <sz val="24"/>
      <color theme="1"/>
      <name val="Calibri"/>
      <family val="2"/>
      <scheme val="minor"/>
    </font>
    <font>
      <b/>
      <u/>
      <sz val="14"/>
      <color theme="1"/>
      <name val="Calibri"/>
      <family val="2"/>
      <scheme val="minor"/>
    </font>
    <font>
      <b/>
      <u/>
      <sz val="10"/>
      <color theme="1"/>
      <name val="Calibri"/>
      <family val="2"/>
      <scheme val="minor"/>
    </font>
    <font>
      <b/>
      <u/>
      <sz val="11"/>
      <color theme="6"/>
      <name val="Calibri"/>
      <family val="2"/>
      <scheme val="minor"/>
    </font>
    <font>
      <sz val="11"/>
      <color theme="6"/>
      <name val="Calibri"/>
      <family val="2"/>
      <scheme val="minor"/>
    </font>
    <font>
      <b/>
      <u/>
      <sz val="11"/>
      <color theme="7"/>
      <name val="Calibri"/>
      <family val="2"/>
      <scheme val="minor"/>
    </font>
    <font>
      <sz val="11"/>
      <color theme="7"/>
      <name val="Calibri"/>
      <family val="2"/>
      <scheme val="minor"/>
    </font>
    <font>
      <b/>
      <sz val="22"/>
      <color theme="1"/>
      <name val="Calibri"/>
      <family val="2"/>
      <scheme val="minor"/>
    </font>
    <font>
      <b/>
      <sz val="11"/>
      <name val="Arial"/>
      <family val="2"/>
    </font>
    <font>
      <sz val="26"/>
      <color theme="1"/>
      <name val="Calibri"/>
      <family val="2"/>
      <scheme val="minor"/>
    </font>
    <font>
      <b/>
      <sz val="26"/>
      <name val="Arial"/>
      <family val="2"/>
    </font>
    <font>
      <b/>
      <sz val="26"/>
      <color theme="1"/>
      <name val="Calibri"/>
      <family val="2"/>
      <scheme val="minor"/>
    </font>
    <font>
      <u/>
      <sz val="11"/>
      <color theme="1"/>
      <name val="Arial"/>
      <family val="2"/>
    </font>
    <font>
      <b/>
      <i/>
      <sz val="16"/>
      <color rgb="FFFF0000"/>
      <name val="Arial"/>
      <family val="2"/>
    </font>
    <font>
      <b/>
      <i/>
      <sz val="10"/>
      <color rgb="FFFF0000"/>
      <name val="Arial"/>
      <family val="2"/>
    </font>
    <font>
      <b/>
      <i/>
      <sz val="10"/>
      <color rgb="FFFF0000"/>
      <name val="Calibri"/>
      <family val="2"/>
      <scheme val="minor"/>
    </font>
    <font>
      <b/>
      <i/>
      <sz val="11"/>
      <color rgb="FFFF0000"/>
      <name val="Calibri"/>
      <family val="2"/>
      <scheme val="minor"/>
    </font>
    <font>
      <b/>
      <i/>
      <sz val="14"/>
      <color rgb="FFFF0000"/>
      <name val="Arial"/>
      <family val="2"/>
    </font>
    <font>
      <sz val="10"/>
      <color rgb="FFFF0000"/>
      <name val="Arial"/>
      <family val="2"/>
    </font>
    <font>
      <sz val="11"/>
      <name val="Arial"/>
      <family val="2"/>
    </font>
    <font>
      <sz val="11"/>
      <color rgb="FFFF0000"/>
      <name val="Arial"/>
      <family val="2"/>
    </font>
    <font>
      <b/>
      <u/>
      <sz val="11"/>
      <color rgb="FFFF0000"/>
      <name val="Arial"/>
      <family val="2"/>
    </font>
    <font>
      <i/>
      <sz val="11"/>
      <color rgb="FFFF0000"/>
      <name val="Arial"/>
      <family val="2"/>
    </font>
    <font>
      <sz val="10"/>
      <name val="Calibri"/>
      <family val="2"/>
      <scheme val="minor"/>
    </font>
    <font>
      <sz val="11"/>
      <color rgb="FFFF0000"/>
      <name val="Calibri"/>
      <family val="2"/>
      <scheme val="minor"/>
    </font>
    <font>
      <b/>
      <sz val="10"/>
      <color rgb="FFFF0000"/>
      <name val="Arial"/>
      <family val="2"/>
    </font>
    <font>
      <b/>
      <i/>
      <sz val="10"/>
      <name val="Calibri"/>
      <family val="2"/>
      <scheme val="minor"/>
    </font>
    <font>
      <b/>
      <i/>
      <sz val="1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000"/>
        <bgColor indexed="64"/>
      </patternFill>
    </fill>
    <fill>
      <patternFill patternType="solid">
        <fgColor theme="6" tint="0.79998168889431442"/>
        <bgColor indexed="64"/>
      </patternFill>
    </fill>
    <fill>
      <patternFill patternType="solid">
        <fgColor rgb="FFFF0000"/>
        <bgColor indexed="64"/>
      </patternFill>
    </fill>
    <fill>
      <patternFill patternType="solid">
        <fgColor rgb="FF00B050"/>
        <bgColor indexed="64"/>
      </patternFill>
    </fill>
  </fills>
  <borders count="4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double">
        <color indexed="64"/>
      </bottom>
      <diagonal/>
    </border>
    <border>
      <left style="thin">
        <color indexed="64"/>
      </left>
      <right style="medium">
        <color indexed="64"/>
      </right>
      <top/>
      <bottom style="double">
        <color indexed="64"/>
      </bottom>
      <diagonal/>
    </border>
  </borders>
  <cellStyleXfs count="3">
    <xf numFmtId="0" fontId="0" fillId="0" borderId="0"/>
    <xf numFmtId="43" fontId="31" fillId="0" borderId="0" applyFont="0" applyFill="0" applyBorder="0" applyAlignment="0" applyProtection="0"/>
    <xf numFmtId="9" fontId="31" fillId="0" borderId="0" applyFont="0" applyFill="0" applyBorder="0" applyAlignment="0" applyProtection="0"/>
  </cellStyleXfs>
  <cellXfs count="500">
    <xf numFmtId="0" fontId="0" fillId="0" borderId="0" xfId="0"/>
    <xf numFmtId="0" fontId="0" fillId="0" borderId="0" xfId="0" applyAlignment="1">
      <alignment horizontal="centerContinuous"/>
    </xf>
    <xf numFmtId="0" fontId="0" fillId="0" borderId="0" xfId="0" applyAlignment="1">
      <alignment horizontal="center"/>
    </xf>
    <xf numFmtId="0" fontId="2" fillId="0" borderId="0" xfId="0" applyFont="1" applyAlignment="1">
      <alignment horizontal="center"/>
    </xf>
    <xf numFmtId="0" fontId="3" fillId="0" borderId="0" xfId="0" applyFont="1" applyAlignment="1">
      <alignment horizontal="center"/>
    </xf>
    <xf numFmtId="0" fontId="5" fillId="0" borderId="0" xfId="0" applyFont="1" applyAlignment="1">
      <alignment horizontal="center"/>
    </xf>
    <xf numFmtId="0" fontId="7" fillId="0" borderId="0" xfId="0" applyFont="1" applyAlignment="1">
      <alignment horizontal="center"/>
    </xf>
    <xf numFmtId="0" fontId="6" fillId="0" borderId="0" xfId="0" applyFont="1" applyAlignment="1">
      <alignment horizontal="center"/>
    </xf>
    <xf numFmtId="0" fontId="4" fillId="0" borderId="0" xfId="0" applyFont="1" applyAlignment="1">
      <alignment horizontal="center"/>
    </xf>
    <xf numFmtId="0" fontId="2" fillId="0" borderId="0" xfId="0" applyFont="1"/>
    <xf numFmtId="0" fontId="3" fillId="0" borderId="0" xfId="0" applyFont="1"/>
    <xf numFmtId="0" fontId="8" fillId="0" borderId="0" xfId="0" applyFont="1" applyAlignment="1">
      <alignment horizontal="left"/>
    </xf>
    <xf numFmtId="0" fontId="8" fillId="0" borderId="0" xfId="0" applyFont="1" applyAlignment="1">
      <alignment horizontal="center"/>
    </xf>
    <xf numFmtId="0" fontId="8" fillId="0" borderId="0" xfId="0" applyFont="1" applyFill="1" applyAlignment="1">
      <alignment horizontal="left"/>
    </xf>
    <xf numFmtId="0" fontId="8" fillId="0" borderId="0" xfId="0" applyFont="1" applyAlignment="1"/>
    <xf numFmtId="49" fontId="8" fillId="0" borderId="0" xfId="0" applyNumberFormat="1" applyFont="1" applyFill="1" applyAlignment="1">
      <alignment horizontal="left"/>
    </xf>
    <xf numFmtId="49" fontId="8" fillId="0" borderId="0" xfId="0" applyNumberFormat="1" applyFont="1" applyFill="1" applyAlignment="1"/>
    <xf numFmtId="0" fontId="8" fillId="0" borderId="0" xfId="0" applyFont="1" applyFill="1" applyAlignment="1"/>
    <xf numFmtId="0" fontId="9" fillId="0" borderId="0" xfId="0" applyFont="1"/>
    <xf numFmtId="0" fontId="9" fillId="0" borderId="0" xfId="0" applyFont="1" applyAlignment="1">
      <alignment horizontal="center"/>
    </xf>
    <xf numFmtId="0" fontId="9" fillId="0" borderId="0" xfId="0" applyFont="1" applyFill="1" applyAlignment="1">
      <alignment horizontal="center"/>
    </xf>
    <xf numFmtId="0" fontId="10" fillId="0" borderId="0" xfId="0" applyFont="1" applyAlignment="1">
      <alignment horizontal="left" vertical="center"/>
    </xf>
    <xf numFmtId="0" fontId="11" fillId="0" borderId="0" xfId="0" applyFont="1"/>
    <xf numFmtId="164" fontId="12" fillId="0" borderId="0" xfId="0" applyNumberFormat="1" applyFont="1" applyAlignment="1">
      <alignment horizontal="right"/>
    </xf>
    <xf numFmtId="0" fontId="10" fillId="0" borderId="0" xfId="0" applyFont="1" applyAlignment="1">
      <alignment horizontal="right"/>
    </xf>
    <xf numFmtId="0" fontId="14" fillId="0" borderId="0" xfId="0" applyFont="1"/>
    <xf numFmtId="0" fontId="14" fillId="0" borderId="0" xfId="0" applyFont="1" applyAlignment="1">
      <alignment horizontal="center"/>
    </xf>
    <xf numFmtId="0" fontId="14" fillId="0" borderId="0" xfId="0" applyFont="1" applyAlignment="1"/>
    <xf numFmtId="0" fontId="0" fillId="0" borderId="0" xfId="0" applyFont="1"/>
    <xf numFmtId="0" fontId="23" fillId="0" borderId="0" xfId="0" applyFont="1"/>
    <xf numFmtId="0" fontId="23" fillId="0" borderId="0" xfId="0" applyFont="1" applyAlignment="1">
      <alignment horizontal="center"/>
    </xf>
    <xf numFmtId="0" fontId="0" fillId="0" borderId="0" xfId="0" applyBorder="1"/>
    <xf numFmtId="0" fontId="0" fillId="0" borderId="8" xfId="0" applyBorder="1"/>
    <xf numFmtId="0" fontId="25" fillId="0" borderId="0" xfId="0" applyFont="1"/>
    <xf numFmtId="0" fontId="15" fillId="0" borderId="0" xfId="0" applyFont="1" applyAlignment="1" applyProtection="1">
      <alignment horizontal="center"/>
      <protection locked="0"/>
    </xf>
    <xf numFmtId="0" fontId="21" fillId="0" borderId="0" xfId="0" applyFont="1"/>
    <xf numFmtId="0" fontId="28" fillId="0" borderId="0" xfId="0" applyFont="1" applyAlignment="1">
      <alignment horizontal="center"/>
    </xf>
    <xf numFmtId="0" fontId="28" fillId="0" borderId="0" xfId="0" applyFont="1"/>
    <xf numFmtId="0" fontId="30" fillId="0" borderId="0" xfId="0" applyFont="1" applyAlignment="1">
      <alignment horizontal="center"/>
    </xf>
    <xf numFmtId="0" fontId="30" fillId="0" borderId="0" xfId="0" applyFont="1"/>
    <xf numFmtId="0" fontId="30" fillId="3" borderId="1" xfId="0" applyFont="1" applyFill="1" applyBorder="1" applyAlignment="1">
      <alignment horizontal="center"/>
    </xf>
    <xf numFmtId="0" fontId="0" fillId="0" borderId="0" xfId="0" applyBorder="1" applyAlignment="1">
      <alignment horizontal="center"/>
    </xf>
    <xf numFmtId="0" fontId="0" fillId="0" borderId="10" xfId="0" applyBorder="1"/>
    <xf numFmtId="0" fontId="0" fillId="0" borderId="12" xfId="0" applyBorder="1"/>
    <xf numFmtId="0" fontId="0" fillId="4" borderId="5" xfId="0" applyFill="1" applyBorder="1"/>
    <xf numFmtId="1" fontId="21" fillId="4" borderId="0" xfId="0" applyNumberFormat="1" applyFont="1" applyFill="1" applyBorder="1" applyAlignment="1">
      <alignment horizontal="center" vertical="center"/>
    </xf>
    <xf numFmtId="0" fontId="0" fillId="4" borderId="6" xfId="0" applyFill="1" applyBorder="1"/>
    <xf numFmtId="0" fontId="0" fillId="0" borderId="5" xfId="0" applyBorder="1" applyAlignment="1">
      <alignment horizontal="center"/>
    </xf>
    <xf numFmtId="3" fontId="0" fillId="0" borderId="0" xfId="0" applyNumberFormat="1"/>
    <xf numFmtId="0" fontId="0" fillId="0" borderId="0" xfId="0"/>
    <xf numFmtId="0" fontId="0" fillId="0" borderId="0" xfId="0" applyAlignment="1">
      <alignment horizontal="center"/>
    </xf>
    <xf numFmtId="0" fontId="14" fillId="0" borderId="0" xfId="0" applyFont="1" applyAlignment="1">
      <alignment horizontal="center"/>
    </xf>
    <xf numFmtId="0" fontId="14" fillId="0" borderId="0" xfId="0" applyFont="1" applyAlignment="1"/>
    <xf numFmtId="0" fontId="0" fillId="0" borderId="5" xfId="0" applyBorder="1"/>
    <xf numFmtId="0" fontId="0" fillId="0" borderId="7" xfId="0" applyBorder="1"/>
    <xf numFmtId="0" fontId="15" fillId="0" borderId="0" xfId="0" applyFont="1" applyAlignment="1" applyProtection="1">
      <alignment horizontal="center"/>
      <protection locked="0"/>
    </xf>
    <xf numFmtId="0" fontId="21" fillId="0" borderId="0" xfId="0" applyFont="1"/>
    <xf numFmtId="0" fontId="28" fillId="0" borderId="0" xfId="0" applyFont="1" applyAlignment="1">
      <alignment horizontal="center"/>
    </xf>
    <xf numFmtId="0" fontId="28" fillId="0" borderId="0" xfId="0" applyFont="1"/>
    <xf numFmtId="0" fontId="30" fillId="0" borderId="0" xfId="0" applyFont="1"/>
    <xf numFmtId="1" fontId="30" fillId="0" borderId="0" xfId="0" applyNumberFormat="1" applyFont="1" applyAlignment="1">
      <alignment horizontal="center"/>
    </xf>
    <xf numFmtId="1" fontId="28" fillId="0" borderId="0" xfId="0" applyNumberFormat="1" applyFont="1" applyAlignment="1">
      <alignment horizontal="center"/>
    </xf>
    <xf numFmtId="1" fontId="0" fillId="0" borderId="0" xfId="0" applyNumberFormat="1" applyAlignment="1">
      <alignment horizontal="center"/>
    </xf>
    <xf numFmtId="0" fontId="21" fillId="0" borderId="5" xfId="0" applyFont="1" applyBorder="1"/>
    <xf numFmtId="0" fontId="21" fillId="0" borderId="6" xfId="0" applyFont="1" applyBorder="1"/>
    <xf numFmtId="0" fontId="21" fillId="0" borderId="9" xfId="0" applyFont="1" applyBorder="1"/>
    <xf numFmtId="0" fontId="21" fillId="0" borderId="0" xfId="0" applyFont="1" applyBorder="1"/>
    <xf numFmtId="0" fontId="21" fillId="4" borderId="5" xfId="0" applyFont="1" applyFill="1" applyBorder="1"/>
    <xf numFmtId="0" fontId="21" fillId="4" borderId="6" xfId="0" applyFont="1" applyFill="1" applyBorder="1"/>
    <xf numFmtId="0" fontId="21" fillId="4" borderId="7" xfId="0" applyFont="1" applyFill="1" applyBorder="1"/>
    <xf numFmtId="0" fontId="21" fillId="4" borderId="9" xfId="0" applyFont="1" applyFill="1" applyBorder="1"/>
    <xf numFmtId="0" fontId="0" fillId="4" borderId="7" xfId="0" applyFill="1" applyBorder="1" applyAlignment="1">
      <alignment horizontal="center"/>
    </xf>
    <xf numFmtId="15" fontId="0" fillId="4" borderId="8" xfId="0" applyNumberFormat="1" applyFill="1" applyBorder="1" applyAlignment="1">
      <alignment horizontal="center"/>
    </xf>
    <xf numFmtId="0" fontId="0" fillId="4" borderId="8" xfId="0" applyFill="1" applyBorder="1" applyAlignment="1">
      <alignment horizontal="center"/>
    </xf>
    <xf numFmtId="15" fontId="0" fillId="4" borderId="9" xfId="0" applyNumberFormat="1" applyFill="1" applyBorder="1" applyAlignment="1">
      <alignment horizontal="center"/>
    </xf>
    <xf numFmtId="1" fontId="0" fillId="4" borderId="7" xfId="0" applyNumberFormat="1" applyFill="1" applyBorder="1" applyAlignment="1">
      <alignment horizontal="center"/>
    </xf>
    <xf numFmtId="0" fontId="21" fillId="0" borderId="8" xfId="0" applyFont="1" applyBorder="1"/>
    <xf numFmtId="0" fontId="21" fillId="4" borderId="0" xfId="0" applyFont="1" applyFill="1" applyBorder="1"/>
    <xf numFmtId="0" fontId="21" fillId="4" borderId="8" xfId="0" applyFont="1" applyFill="1" applyBorder="1"/>
    <xf numFmtId="0" fontId="0" fillId="4" borderId="10" xfId="0" applyFill="1" applyBorder="1" applyAlignment="1">
      <alignment horizontal="center"/>
    </xf>
    <xf numFmtId="3" fontId="0" fillId="0" borderId="0" xfId="0" applyNumberFormat="1" applyBorder="1" applyAlignment="1">
      <alignment horizontal="center"/>
    </xf>
    <xf numFmtId="0" fontId="18" fillId="0" borderId="20" xfId="0" applyFont="1" applyFill="1" applyBorder="1" applyAlignment="1">
      <alignment horizontal="center"/>
    </xf>
    <xf numFmtId="0" fontId="18" fillId="0" borderId="16" xfId="0" applyFont="1" applyFill="1" applyBorder="1" applyAlignment="1">
      <alignment horizontal="center"/>
    </xf>
    <xf numFmtId="0" fontId="0" fillId="4" borderId="21" xfId="0" applyFill="1" applyBorder="1" applyAlignment="1">
      <alignment horizontal="center"/>
    </xf>
    <xf numFmtId="165" fontId="0" fillId="4" borderId="17" xfId="0" applyNumberFormat="1" applyFill="1" applyBorder="1" applyAlignment="1">
      <alignment horizontal="center"/>
    </xf>
    <xf numFmtId="3" fontId="24" fillId="0" borderId="0" xfId="0" applyNumberFormat="1" applyFont="1" applyBorder="1" applyAlignment="1" applyProtection="1">
      <alignment horizontal="center"/>
    </xf>
    <xf numFmtId="0" fontId="0" fillId="0" borderId="14" xfId="0" applyBorder="1"/>
    <xf numFmtId="0" fontId="0" fillId="0" borderId="0" xfId="0" applyFill="1" applyBorder="1" applyAlignment="1">
      <alignment horizontal="center"/>
    </xf>
    <xf numFmtId="0" fontId="0" fillId="0" borderId="0" xfId="0" applyFill="1" applyBorder="1"/>
    <xf numFmtId="166" fontId="27" fillId="0" borderId="0" xfId="0" applyNumberFormat="1" applyFont="1" applyAlignment="1" applyProtection="1">
      <alignment horizontal="center"/>
      <protection locked="0"/>
    </xf>
    <xf numFmtId="0" fontId="14" fillId="0" borderId="0" xfId="0" applyFont="1" applyBorder="1" applyAlignment="1">
      <alignment horizontal="center"/>
    </xf>
    <xf numFmtId="0" fontId="18" fillId="0" borderId="11" xfId="0" applyFont="1" applyBorder="1" applyAlignment="1">
      <alignment horizontal="center"/>
    </xf>
    <xf numFmtId="166" fontId="33" fillId="0" borderId="0" xfId="0" applyNumberFormat="1" applyFont="1" applyAlignment="1" applyProtection="1">
      <alignment horizontal="center"/>
      <protection locked="0"/>
    </xf>
    <xf numFmtId="0" fontId="0" fillId="0" borderId="0" xfId="0" applyBorder="1" applyAlignment="1">
      <alignment horizontal="center"/>
    </xf>
    <xf numFmtId="0" fontId="18" fillId="0" borderId="10" xfId="0" applyFont="1" applyBorder="1" applyAlignment="1">
      <alignment horizontal="center"/>
    </xf>
    <xf numFmtId="0" fontId="18" fillId="0" borderId="12" xfId="0" applyFont="1" applyBorder="1" applyAlignment="1">
      <alignment horizontal="center"/>
    </xf>
    <xf numFmtId="0" fontId="18" fillId="0" borderId="23" xfId="0" applyFont="1" applyFill="1" applyBorder="1" applyAlignment="1">
      <alignment horizontal="center"/>
    </xf>
    <xf numFmtId="0" fontId="18" fillId="0" borderId="19" xfId="0" applyFont="1" applyFill="1" applyBorder="1" applyAlignment="1">
      <alignment horizontal="center"/>
    </xf>
    <xf numFmtId="15" fontId="32" fillId="4" borderId="0" xfId="0" applyNumberFormat="1" applyFont="1" applyFill="1" applyBorder="1" applyAlignment="1">
      <alignment horizontal="center"/>
    </xf>
    <xf numFmtId="0" fontId="28" fillId="0" borderId="0" xfId="0" applyFont="1" applyBorder="1"/>
    <xf numFmtId="0" fontId="0" fillId="0" borderId="6" xfId="0" applyBorder="1"/>
    <xf numFmtId="0" fontId="21" fillId="0" borderId="7" xfId="0" applyFont="1" applyBorder="1"/>
    <xf numFmtId="15" fontId="32" fillId="4" borderId="8" xfId="0" applyNumberFormat="1" applyFont="1" applyFill="1" applyBorder="1" applyAlignment="1">
      <alignment horizontal="center"/>
    </xf>
    <xf numFmtId="0" fontId="0" fillId="0" borderId="9" xfId="0" applyBorder="1"/>
    <xf numFmtId="0" fontId="0" fillId="4" borderId="7" xfId="0" applyFill="1" applyBorder="1"/>
    <xf numFmtId="0" fontId="18" fillId="0" borderId="26" xfId="0" applyFont="1" applyFill="1" applyBorder="1" applyAlignment="1">
      <alignment horizontal="center"/>
    </xf>
    <xf numFmtId="0" fontId="18" fillId="0" borderId="28" xfId="0" applyFont="1" applyFill="1" applyBorder="1" applyAlignment="1">
      <alignment horizontal="center"/>
    </xf>
    <xf numFmtId="0" fontId="35" fillId="0" borderId="0" xfId="0" applyFont="1" applyAlignment="1">
      <alignment horizontal="center"/>
    </xf>
    <xf numFmtId="0" fontId="14" fillId="0" borderId="0" xfId="0" applyFont="1" applyBorder="1" applyAlignment="1">
      <alignment horizontal="center"/>
    </xf>
    <xf numFmtId="0" fontId="41" fillId="0" borderId="0" xfId="0" applyFont="1" applyAlignment="1">
      <alignment horizontal="center"/>
    </xf>
    <xf numFmtId="1" fontId="41" fillId="0" borderId="0" xfId="0" applyNumberFormat="1" applyFont="1" applyAlignment="1">
      <alignment horizontal="center"/>
    </xf>
    <xf numFmtId="0" fontId="41" fillId="0" borderId="0" xfId="0" applyFont="1"/>
    <xf numFmtId="0" fontId="41" fillId="0" borderId="0" xfId="0" applyFont="1" applyFill="1" applyBorder="1" applyAlignment="1">
      <alignment horizontal="center"/>
    </xf>
    <xf numFmtId="1" fontId="42" fillId="0" borderId="0" xfId="0" applyNumberFormat="1" applyFont="1" applyAlignment="1">
      <alignment horizontal="center"/>
    </xf>
    <xf numFmtId="0" fontId="16" fillId="0" borderId="1" xfId="0" applyFont="1" applyBorder="1" applyAlignment="1">
      <alignment horizontal="center"/>
    </xf>
    <xf numFmtId="0" fontId="16" fillId="0" borderId="11" xfId="0" applyFont="1" applyBorder="1" applyAlignment="1">
      <alignment horizontal="center"/>
    </xf>
    <xf numFmtId="0" fontId="33" fillId="0" borderId="1" xfId="0" applyFont="1" applyBorder="1" applyAlignment="1">
      <alignment horizontal="center"/>
    </xf>
    <xf numFmtId="0" fontId="33" fillId="0" borderId="10" xfId="0" applyFont="1" applyBorder="1" applyAlignment="1">
      <alignment horizontal="center"/>
    </xf>
    <xf numFmtId="0" fontId="43" fillId="0" borderId="0" xfId="0" applyFont="1" applyBorder="1" applyAlignment="1">
      <alignment horizontal="left"/>
    </xf>
    <xf numFmtId="2" fontId="44" fillId="0" borderId="0" xfId="0" applyNumberFormat="1" applyFont="1" applyBorder="1" applyAlignment="1">
      <alignment horizontal="center"/>
    </xf>
    <xf numFmtId="0" fontId="44" fillId="0" borderId="0" xfId="0" applyFont="1" applyFill="1" applyBorder="1" applyAlignment="1">
      <alignment horizontal="center"/>
    </xf>
    <xf numFmtId="0" fontId="44" fillId="0" borderId="0" xfId="0" applyFont="1" applyFill="1" applyBorder="1"/>
    <xf numFmtId="0" fontId="14" fillId="0" borderId="0" xfId="0" applyFont="1" applyFill="1" applyBorder="1"/>
    <xf numFmtId="0" fontId="14" fillId="0" borderId="0" xfId="0" applyFont="1" applyFill="1" applyBorder="1" applyAlignment="1">
      <alignment horizontal="center"/>
    </xf>
    <xf numFmtId="0" fontId="0" fillId="4" borderId="9" xfId="0" applyFill="1" applyBorder="1" applyAlignment="1">
      <alignment horizontal="center"/>
    </xf>
    <xf numFmtId="15" fontId="0" fillId="4" borderId="11" xfId="0" applyNumberFormat="1" applyFill="1" applyBorder="1" applyAlignment="1">
      <alignment horizontal="center"/>
    </xf>
    <xf numFmtId="15" fontId="0" fillId="4" borderId="12" xfId="0" applyNumberFormat="1" applyFill="1" applyBorder="1" applyAlignment="1">
      <alignment horizontal="center"/>
    </xf>
    <xf numFmtId="0" fontId="43" fillId="0" borderId="10" xfId="0" applyFont="1" applyBorder="1" applyAlignment="1">
      <alignment horizontal="left"/>
    </xf>
    <xf numFmtId="0" fontId="43" fillId="0" borderId="11" xfId="0" applyFont="1" applyBorder="1" applyAlignment="1">
      <alignment horizontal="left"/>
    </xf>
    <xf numFmtId="0" fontId="43" fillId="0" borderId="12" xfId="0" applyFont="1" applyBorder="1" applyAlignment="1">
      <alignment horizontal="left"/>
    </xf>
    <xf numFmtId="0" fontId="16" fillId="0" borderId="0" xfId="0" applyFont="1" applyFill="1" applyBorder="1" applyAlignment="1">
      <alignment horizontal="center"/>
    </xf>
    <xf numFmtId="3" fontId="14" fillId="0" borderId="0" xfId="0" applyNumberFormat="1" applyFont="1" applyAlignment="1">
      <alignment horizontal="center"/>
    </xf>
    <xf numFmtId="0" fontId="47" fillId="0" borderId="0" xfId="0" applyFont="1"/>
    <xf numFmtId="0" fontId="14" fillId="4" borderId="5" xfId="0" applyFont="1" applyFill="1" applyBorder="1" applyAlignment="1">
      <alignment horizontal="center"/>
    </xf>
    <xf numFmtId="166" fontId="33" fillId="4" borderId="0" xfId="0" applyNumberFormat="1" applyFont="1" applyFill="1" applyBorder="1" applyAlignment="1" applyProtection="1">
      <alignment horizontal="center"/>
      <protection locked="0"/>
    </xf>
    <xf numFmtId="0" fontId="14" fillId="4" borderId="0" xfId="0" applyFont="1" applyFill="1" applyBorder="1"/>
    <xf numFmtId="0" fontId="14" fillId="4" borderId="0" xfId="0" applyFont="1" applyFill="1" applyBorder="1" applyAlignment="1">
      <alignment horizontal="right"/>
    </xf>
    <xf numFmtId="0" fontId="41" fillId="4" borderId="0" xfId="0" applyFont="1" applyFill="1" applyBorder="1"/>
    <xf numFmtId="0" fontId="14" fillId="4" borderId="7" xfId="0" applyFont="1" applyFill="1" applyBorder="1" applyAlignment="1">
      <alignment horizontal="center"/>
    </xf>
    <xf numFmtId="0" fontId="41" fillId="4" borderId="8" xfId="0" applyFont="1" applyFill="1" applyBorder="1"/>
    <xf numFmtId="0" fontId="41" fillId="4" borderId="8" xfId="0" applyFont="1" applyFill="1" applyBorder="1" applyAlignment="1">
      <alignment horizontal="right"/>
    </xf>
    <xf numFmtId="0" fontId="14" fillId="4" borderId="8" xfId="0" applyFont="1" applyFill="1" applyBorder="1" applyAlignment="1">
      <alignment horizontal="right"/>
    </xf>
    <xf numFmtId="167" fontId="0" fillId="0" borderId="0" xfId="0" applyNumberFormat="1" applyAlignment="1">
      <alignment horizontal="center"/>
    </xf>
    <xf numFmtId="0" fontId="13" fillId="0" borderId="0" xfId="0" applyFont="1" applyAlignment="1"/>
    <xf numFmtId="0" fontId="14" fillId="6" borderId="0" xfId="0" applyFont="1" applyFill="1" applyBorder="1" applyAlignment="1">
      <alignment horizontal="left"/>
    </xf>
    <xf numFmtId="0" fontId="41" fillId="6" borderId="0" xfId="0" applyFont="1" applyFill="1" applyBorder="1" applyAlignment="1">
      <alignment horizontal="center"/>
    </xf>
    <xf numFmtId="0" fontId="14" fillId="6" borderId="0" xfId="0" applyFont="1" applyFill="1" applyBorder="1" applyAlignment="1">
      <alignment horizontal="center"/>
    </xf>
    <xf numFmtId="0" fontId="14" fillId="6" borderId="6" xfId="0" applyFont="1" applyFill="1" applyBorder="1" applyAlignment="1">
      <alignment horizontal="center"/>
    </xf>
    <xf numFmtId="49" fontId="14" fillId="6" borderId="0" xfId="0" applyNumberFormat="1" applyFont="1" applyFill="1" applyBorder="1" applyAlignment="1">
      <alignment horizontal="left"/>
    </xf>
    <xf numFmtId="49" fontId="14" fillId="6" borderId="8" xfId="0" applyNumberFormat="1" applyFont="1" applyFill="1" applyBorder="1" applyAlignment="1">
      <alignment horizontal="left"/>
    </xf>
    <xf numFmtId="0" fontId="14" fillId="6" borderId="8" xfId="0" applyFont="1" applyFill="1" applyBorder="1" applyAlignment="1">
      <alignment horizontal="center"/>
    </xf>
    <xf numFmtId="0" fontId="14" fillId="6" borderId="9" xfId="0" applyFont="1" applyFill="1" applyBorder="1" applyAlignment="1">
      <alignment horizontal="center"/>
    </xf>
    <xf numFmtId="0" fontId="41" fillId="7" borderId="0" xfId="0" applyFont="1" applyFill="1" applyBorder="1" applyAlignment="1">
      <alignment horizontal="left"/>
    </xf>
    <xf numFmtId="0" fontId="41" fillId="7" borderId="6" xfId="0" applyFont="1" applyFill="1" applyBorder="1" applyAlignment="1">
      <alignment horizontal="center"/>
    </xf>
    <xf numFmtId="0" fontId="14" fillId="7" borderId="6" xfId="0" applyFont="1" applyFill="1" applyBorder="1" applyAlignment="1">
      <alignment horizontal="center"/>
    </xf>
    <xf numFmtId="0" fontId="32" fillId="7" borderId="0" xfId="0" applyFont="1" applyFill="1" applyBorder="1" applyAlignment="1">
      <alignment horizontal="left"/>
    </xf>
    <xf numFmtId="0" fontId="14" fillId="7" borderId="6" xfId="0" applyFont="1" applyFill="1" applyBorder="1"/>
    <xf numFmtId="0" fontId="32" fillId="7" borderId="8" xfId="0" applyFont="1" applyFill="1" applyBorder="1" applyAlignment="1">
      <alignment horizontal="left"/>
    </xf>
    <xf numFmtId="0" fontId="41" fillId="7" borderId="9" xfId="0" applyFont="1" applyFill="1" applyBorder="1" applyAlignment="1">
      <alignment horizontal="center"/>
    </xf>
    <xf numFmtId="0" fontId="49" fillId="8" borderId="13" xfId="0" applyFont="1" applyFill="1" applyBorder="1" applyAlignment="1">
      <alignment horizontal="center"/>
    </xf>
    <xf numFmtId="0" fontId="41" fillId="8" borderId="33" xfId="0" applyFont="1" applyFill="1" applyBorder="1" applyAlignment="1">
      <alignment horizontal="center"/>
    </xf>
    <xf numFmtId="0" fontId="41" fillId="8" borderId="15" xfId="0" applyFont="1" applyFill="1" applyBorder="1" applyAlignment="1">
      <alignment horizontal="center"/>
    </xf>
    <xf numFmtId="0" fontId="41" fillId="8" borderId="18" xfId="0" applyFont="1" applyFill="1" applyBorder="1" applyAlignment="1">
      <alignment horizontal="center"/>
    </xf>
    <xf numFmtId="1" fontId="41" fillId="8" borderId="33" xfId="0" applyNumberFormat="1" applyFont="1" applyFill="1" applyBorder="1" applyAlignment="1"/>
    <xf numFmtId="1" fontId="41" fillId="8" borderId="15" xfId="0" applyNumberFormat="1" applyFont="1" applyFill="1" applyBorder="1" applyAlignment="1"/>
    <xf numFmtId="1" fontId="41" fillId="8" borderId="24" xfId="0" applyNumberFormat="1" applyFont="1" applyFill="1" applyBorder="1" applyAlignment="1"/>
    <xf numFmtId="1" fontId="44" fillId="8" borderId="14" xfId="0" applyNumberFormat="1" applyFont="1" applyFill="1" applyBorder="1" applyAlignment="1">
      <alignment horizontal="center"/>
    </xf>
    <xf numFmtId="164" fontId="41" fillId="8" borderId="3" xfId="0" applyNumberFormat="1" applyFont="1" applyFill="1" applyBorder="1" applyAlignment="1">
      <alignment horizontal="center"/>
    </xf>
    <xf numFmtId="164" fontId="41" fillId="8" borderId="32" xfId="0" applyNumberFormat="1" applyFont="1" applyFill="1" applyBorder="1" applyAlignment="1">
      <alignment horizontal="center"/>
    </xf>
    <xf numFmtId="164" fontId="41" fillId="8" borderId="34" xfId="0" applyNumberFormat="1" applyFont="1" applyFill="1" applyBorder="1" applyAlignment="1">
      <alignment horizontal="center"/>
    </xf>
    <xf numFmtId="1" fontId="44" fillId="8" borderId="1" xfId="0" applyNumberFormat="1" applyFont="1" applyFill="1" applyBorder="1" applyAlignment="1">
      <alignment horizontal="center"/>
    </xf>
    <xf numFmtId="0" fontId="41" fillId="2" borderId="27" xfId="0" applyFont="1" applyFill="1" applyBorder="1" applyAlignment="1" applyProtection="1">
      <alignment horizontal="center"/>
      <protection locked="0"/>
    </xf>
    <xf numFmtId="0" fontId="32" fillId="2" borderId="20" xfId="0" applyFont="1" applyFill="1" applyBorder="1" applyAlignment="1" applyProtection="1">
      <alignment horizontal="centerContinuous"/>
      <protection locked="0"/>
    </xf>
    <xf numFmtId="0" fontId="41" fillId="2" borderId="15" xfId="0" applyFont="1" applyFill="1" applyBorder="1" applyAlignment="1" applyProtection="1">
      <alignment horizontal="center"/>
      <protection locked="0"/>
    </xf>
    <xf numFmtId="1" fontId="41" fillId="2" borderId="15" xfId="0" applyNumberFormat="1" applyFont="1" applyFill="1" applyBorder="1" applyAlignment="1" applyProtection="1">
      <alignment horizontal="center"/>
      <protection locked="0"/>
    </xf>
    <xf numFmtId="0" fontId="41" fillId="2" borderId="20" xfId="0" applyFont="1" applyFill="1" applyBorder="1" applyAlignment="1" applyProtection="1">
      <alignment horizontal="center"/>
      <protection locked="0"/>
    </xf>
    <xf numFmtId="0" fontId="41" fillId="2" borderId="29" xfId="0" applyFont="1" applyFill="1" applyBorder="1" applyAlignment="1" applyProtection="1">
      <alignment horizontal="center"/>
      <protection locked="0"/>
    </xf>
    <xf numFmtId="1" fontId="41" fillId="2" borderId="29" xfId="0" applyNumberFormat="1" applyFont="1" applyFill="1" applyBorder="1" applyAlignment="1" applyProtection="1">
      <alignment horizontal="center"/>
      <protection locked="0"/>
    </xf>
    <xf numFmtId="0" fontId="41" fillId="2" borderId="31" xfId="0" applyFont="1" applyFill="1" applyBorder="1" applyAlignment="1" applyProtection="1">
      <alignment horizontal="center"/>
      <protection locked="0"/>
    </xf>
    <xf numFmtId="0" fontId="41" fillId="2" borderId="32" xfId="0" applyFont="1" applyFill="1" applyBorder="1" applyAlignment="1" applyProtection="1">
      <alignment horizontal="center"/>
      <protection locked="0"/>
    </xf>
    <xf numFmtId="0" fontId="41" fillId="2" borderId="34" xfId="0" applyFont="1" applyFill="1" applyBorder="1" applyAlignment="1" applyProtection="1">
      <alignment horizontal="center"/>
      <protection locked="0"/>
    </xf>
    <xf numFmtId="0" fontId="41" fillId="2" borderId="30" xfId="0" applyFont="1" applyFill="1" applyBorder="1" applyAlignment="1" applyProtection="1">
      <alignment horizontal="center"/>
      <protection locked="0"/>
    </xf>
    <xf numFmtId="0" fontId="14" fillId="2" borderId="1" xfId="0" applyFont="1" applyFill="1" applyBorder="1" applyAlignment="1" applyProtection="1">
      <alignment horizontal="center"/>
      <protection locked="0"/>
    </xf>
    <xf numFmtId="15" fontId="14" fillId="2" borderId="1" xfId="0" applyNumberFormat="1" applyFont="1" applyFill="1" applyBorder="1" applyAlignment="1" applyProtection="1">
      <alignment horizontal="center"/>
      <protection locked="0"/>
    </xf>
    <xf numFmtId="165" fontId="14" fillId="2" borderId="1" xfId="0" applyNumberFormat="1" applyFont="1" applyFill="1" applyBorder="1" applyAlignment="1" applyProtection="1">
      <alignment horizontal="center"/>
      <protection locked="0"/>
    </xf>
    <xf numFmtId="14" fontId="14" fillId="2" borderId="1" xfId="0" applyNumberFormat="1" applyFont="1" applyFill="1" applyBorder="1" applyAlignment="1" applyProtection="1">
      <alignment horizontal="center"/>
      <protection locked="0"/>
    </xf>
    <xf numFmtId="0" fontId="39" fillId="0" borderId="0" xfId="0" applyFont="1" applyAlignment="1"/>
    <xf numFmtId="0" fontId="29" fillId="0" borderId="0" xfId="0" applyFont="1" applyAlignment="1"/>
    <xf numFmtId="2" fontId="14" fillId="0" borderId="0" xfId="0" applyNumberFormat="1" applyFont="1"/>
    <xf numFmtId="0" fontId="7" fillId="0" borderId="0" xfId="0" applyFont="1" applyAlignment="1"/>
    <xf numFmtId="166" fontId="27" fillId="0" borderId="0" xfId="0" applyNumberFormat="1" applyFont="1" applyAlignment="1" applyProtection="1">
      <protection locked="0"/>
    </xf>
    <xf numFmtId="0" fontId="14" fillId="0" borderId="36" xfId="0" applyFont="1" applyBorder="1" applyAlignment="1">
      <alignment horizontal="center"/>
    </xf>
    <xf numFmtId="0" fontId="0" fillId="0" borderId="36" xfId="0" applyBorder="1"/>
    <xf numFmtId="3" fontId="0" fillId="0" borderId="36" xfId="0" applyNumberFormat="1" applyBorder="1"/>
    <xf numFmtId="0" fontId="41" fillId="8" borderId="37" xfId="0" applyFont="1" applyFill="1" applyBorder="1" applyAlignment="1">
      <alignment horizontal="center"/>
    </xf>
    <xf numFmtId="1" fontId="41" fillId="2" borderId="33" xfId="0" applyNumberFormat="1" applyFont="1" applyFill="1" applyBorder="1" applyAlignment="1" applyProtection="1">
      <alignment horizontal="center"/>
      <protection locked="0"/>
    </xf>
    <xf numFmtId="1" fontId="41" fillId="2" borderId="18" xfId="0" applyNumberFormat="1" applyFont="1" applyFill="1" applyBorder="1" applyAlignment="1" applyProtection="1">
      <alignment horizontal="center"/>
      <protection locked="0"/>
    </xf>
    <xf numFmtId="165" fontId="0" fillId="0" borderId="0" xfId="0" applyNumberFormat="1" applyAlignment="1">
      <alignment horizontal="center"/>
    </xf>
    <xf numFmtId="165" fontId="30" fillId="0" borderId="0" xfId="0" applyNumberFormat="1" applyFont="1" applyAlignment="1">
      <alignment horizontal="center"/>
    </xf>
    <xf numFmtId="165" fontId="28" fillId="0" borderId="0" xfId="0" applyNumberFormat="1" applyFont="1" applyAlignment="1">
      <alignment horizontal="center"/>
    </xf>
    <xf numFmtId="165" fontId="21" fillId="0" borderId="0" xfId="0" applyNumberFormat="1" applyFont="1"/>
    <xf numFmtId="1" fontId="39" fillId="0" borderId="0" xfId="0" applyNumberFormat="1" applyFont="1" applyAlignment="1"/>
    <xf numFmtId="1" fontId="29" fillId="0" borderId="0" xfId="0" applyNumberFormat="1" applyFont="1" applyAlignment="1"/>
    <xf numFmtId="1" fontId="21" fillId="0" borderId="0" xfId="0" applyNumberFormat="1" applyFont="1"/>
    <xf numFmtId="1" fontId="30" fillId="0" borderId="0" xfId="0" applyNumberFormat="1" applyFont="1"/>
    <xf numFmtId="0" fontId="51" fillId="0" borderId="0" xfId="0" applyFont="1"/>
    <xf numFmtId="0" fontId="51" fillId="0" borderId="0" xfId="0" applyFont="1" applyAlignment="1">
      <alignment horizontal="center"/>
    </xf>
    <xf numFmtId="0" fontId="39" fillId="0" borderId="0" xfId="0" applyFont="1" applyAlignment="1">
      <alignment horizontal="center"/>
    </xf>
    <xf numFmtId="0" fontId="0" fillId="0" borderId="0" xfId="0" applyFill="1"/>
    <xf numFmtId="0" fontId="0" fillId="0" borderId="0" xfId="0" applyFill="1" applyAlignment="1">
      <alignment horizontal="center"/>
    </xf>
    <xf numFmtId="0" fontId="11" fillId="0" borderId="0" xfId="0" applyFont="1" applyFill="1"/>
    <xf numFmtId="0" fontId="21" fillId="0" borderId="0" xfId="0" applyFont="1" applyFill="1"/>
    <xf numFmtId="0" fontId="21" fillId="0" borderId="0" xfId="0" applyFont="1" applyFill="1" applyAlignment="1">
      <alignment horizontal="center"/>
    </xf>
    <xf numFmtId="0" fontId="21" fillId="9" borderId="0" xfId="0" applyFont="1" applyFill="1"/>
    <xf numFmtId="0" fontId="21" fillId="9" borderId="0" xfId="0" applyFont="1" applyFill="1" applyBorder="1" applyAlignment="1">
      <alignment horizontal="center"/>
    </xf>
    <xf numFmtId="9" fontId="21" fillId="9" borderId="15" xfId="0" applyNumberFormat="1" applyFont="1" applyFill="1" applyBorder="1" applyAlignment="1">
      <alignment horizontal="center"/>
    </xf>
    <xf numFmtId="0" fontId="0" fillId="9" borderId="0" xfId="0" applyFill="1"/>
    <xf numFmtId="0" fontId="0" fillId="9" borderId="0" xfId="0" applyFill="1" applyBorder="1" applyAlignment="1">
      <alignment horizontal="center"/>
    </xf>
    <xf numFmtId="9" fontId="0" fillId="9" borderId="15" xfId="0" applyNumberFormat="1" applyFill="1" applyBorder="1" applyAlignment="1">
      <alignment horizontal="center"/>
    </xf>
    <xf numFmtId="0" fontId="21" fillId="0" borderId="0" xfId="0" applyFont="1" applyAlignment="1">
      <alignment horizontal="center"/>
    </xf>
    <xf numFmtId="0" fontId="52" fillId="0" borderId="0" xfId="0" applyFont="1"/>
    <xf numFmtId="0" fontId="53" fillId="0" borderId="0" xfId="0" applyFont="1"/>
    <xf numFmtId="0" fontId="53" fillId="0" borderId="0" xfId="0" applyFont="1" applyAlignment="1">
      <alignment horizontal="center"/>
    </xf>
    <xf numFmtId="0" fontId="21" fillId="0" borderId="15" xfId="0" applyFont="1" applyBorder="1" applyAlignment="1">
      <alignment horizontal="center"/>
    </xf>
    <xf numFmtId="0" fontId="21" fillId="0" borderId="0" xfId="0" applyFont="1" applyBorder="1" applyAlignment="1">
      <alignment horizontal="center"/>
    </xf>
    <xf numFmtId="0" fontId="11" fillId="10" borderId="0" xfId="0" applyFont="1" applyFill="1"/>
    <xf numFmtId="0" fontId="21" fillId="10" borderId="0" xfId="0" applyFont="1" applyFill="1"/>
    <xf numFmtId="0" fontId="21" fillId="10" borderId="15" xfId="0" applyFont="1" applyFill="1" applyBorder="1" applyAlignment="1" applyProtection="1">
      <alignment horizontal="center"/>
      <protection locked="0"/>
    </xf>
    <xf numFmtId="0" fontId="11" fillId="6" borderId="0" xfId="0" applyFont="1" applyFill="1"/>
    <xf numFmtId="0" fontId="21" fillId="6" borderId="0" xfId="0" applyFont="1" applyFill="1"/>
    <xf numFmtId="0" fontId="21" fillId="6" borderId="15" xfId="0" applyFont="1" applyFill="1" applyBorder="1" applyAlignment="1" applyProtection="1">
      <alignment horizontal="center"/>
      <protection locked="0"/>
    </xf>
    <xf numFmtId="9" fontId="21" fillId="10" borderId="15" xfId="0" applyNumberFormat="1" applyFont="1" applyFill="1" applyBorder="1" applyAlignment="1">
      <alignment horizontal="center"/>
    </xf>
    <xf numFmtId="9" fontId="21" fillId="6" borderId="15" xfId="0" applyNumberFormat="1" applyFont="1" applyFill="1" applyBorder="1" applyAlignment="1">
      <alignment horizontal="center"/>
    </xf>
    <xf numFmtId="0" fontId="54" fillId="0" borderId="0" xfId="0" applyFont="1" applyAlignment="1">
      <alignment horizontal="center"/>
    </xf>
    <xf numFmtId="3" fontId="55" fillId="0" borderId="0" xfId="0" applyNumberFormat="1" applyFont="1"/>
    <xf numFmtId="3" fontId="55" fillId="0" borderId="36" xfId="0" applyNumberFormat="1" applyFont="1" applyBorder="1"/>
    <xf numFmtId="0" fontId="56" fillId="0" borderId="0" xfId="0" applyFont="1" applyAlignment="1">
      <alignment horizontal="center"/>
    </xf>
    <xf numFmtId="3" fontId="57" fillId="0" borderId="0" xfId="0" applyNumberFormat="1" applyFont="1"/>
    <xf numFmtId="3" fontId="57" fillId="0" borderId="36" xfId="0" applyNumberFormat="1" applyFont="1" applyBorder="1"/>
    <xf numFmtId="9" fontId="55" fillId="0" borderId="0" xfId="2" applyFont="1" applyBorder="1"/>
    <xf numFmtId="9" fontId="57" fillId="0" borderId="0" xfId="2" applyFont="1" applyBorder="1"/>
    <xf numFmtId="0" fontId="26" fillId="0" borderId="0" xfId="0" applyFont="1" applyBorder="1" applyAlignment="1">
      <alignment horizontal="right"/>
    </xf>
    <xf numFmtId="9" fontId="0" fillId="0" borderId="0" xfId="2" applyFont="1" applyBorder="1" applyProtection="1"/>
    <xf numFmtId="3" fontId="0" fillId="0" borderId="38" xfId="0" applyNumberFormat="1" applyBorder="1"/>
    <xf numFmtId="0" fontId="21" fillId="0" borderId="39" xfId="0" applyFont="1" applyFill="1" applyBorder="1" applyAlignment="1">
      <alignment horizontal="center"/>
    </xf>
    <xf numFmtId="0" fontId="23" fillId="11" borderId="0" xfId="0" applyFont="1" applyFill="1"/>
    <xf numFmtId="0" fontId="0" fillId="11" borderId="0" xfId="0" applyFill="1"/>
    <xf numFmtId="0" fontId="14" fillId="0" borderId="0" xfId="0" applyFont="1" applyFill="1" applyAlignment="1">
      <alignment horizontal="center"/>
    </xf>
    <xf numFmtId="0" fontId="35" fillId="0" borderId="0" xfId="0" applyFont="1" applyFill="1" applyBorder="1" applyAlignment="1"/>
    <xf numFmtId="0" fontId="19" fillId="0" borderId="0" xfId="0" applyFont="1" applyFill="1" applyBorder="1" applyAlignment="1">
      <alignment horizontal="center"/>
    </xf>
    <xf numFmtId="3" fontId="24" fillId="0" borderId="0" xfId="0" applyNumberFormat="1" applyFont="1" applyFill="1" applyBorder="1" applyAlignment="1" applyProtection="1">
      <alignment horizontal="center"/>
    </xf>
    <xf numFmtId="0" fontId="20" fillId="0" borderId="0" xfId="0" applyFont="1" applyFill="1" applyBorder="1" applyAlignment="1"/>
    <xf numFmtId="0" fontId="14" fillId="0" borderId="0" xfId="0" applyFont="1" applyFill="1"/>
    <xf numFmtId="0" fontId="48" fillId="0" borderId="0" xfId="0" applyFont="1" applyFill="1" applyBorder="1"/>
    <xf numFmtId="0" fontId="17" fillId="0" borderId="0" xfId="0" applyFont="1" applyFill="1" applyBorder="1" applyAlignment="1">
      <alignment horizontal="center"/>
    </xf>
    <xf numFmtId="0" fontId="14" fillId="0" borderId="0" xfId="0" applyFont="1" applyFill="1" applyAlignment="1" applyProtection="1">
      <protection locked="0"/>
    </xf>
    <xf numFmtId="0" fontId="14" fillId="0" borderId="0" xfId="0" applyFont="1" applyFill="1" applyAlignment="1"/>
    <xf numFmtId="0" fontId="16" fillId="0" borderId="10" xfId="0" applyFont="1" applyBorder="1" applyAlignment="1">
      <alignment horizontal="center"/>
    </xf>
    <xf numFmtId="0" fontId="16" fillId="0" borderId="12" xfId="0" applyFont="1" applyBorder="1" applyAlignment="1">
      <alignment horizontal="center"/>
    </xf>
    <xf numFmtId="9" fontId="21" fillId="9" borderId="29" xfId="0" applyNumberFormat="1" applyFont="1" applyFill="1" applyBorder="1" applyAlignment="1">
      <alignment horizontal="center"/>
    </xf>
    <xf numFmtId="0" fontId="21" fillId="0" borderId="0" xfId="0" applyFont="1" applyFill="1" applyBorder="1" applyAlignment="1">
      <alignment horizontal="center"/>
    </xf>
    <xf numFmtId="0" fontId="52" fillId="0" borderId="0" xfId="0" applyFont="1" applyFill="1"/>
    <xf numFmtId="0" fontId="53" fillId="0" borderId="0" xfId="0" applyFont="1" applyFill="1"/>
    <xf numFmtId="0" fontId="53" fillId="0" borderId="0" xfId="0" applyFont="1" applyFill="1" applyBorder="1" applyAlignment="1">
      <alignment horizontal="center"/>
    </xf>
    <xf numFmtId="0" fontId="41" fillId="0" borderId="0" xfId="0" applyFont="1" applyFill="1" applyBorder="1" applyAlignment="1" applyProtection="1">
      <alignment horizontal="center"/>
      <protection locked="0"/>
    </xf>
    <xf numFmtId="0" fontId="14" fillId="0" borderId="0" xfId="0" applyFont="1" applyAlignment="1">
      <alignment horizontal="right"/>
    </xf>
    <xf numFmtId="0" fontId="16" fillId="0" borderId="1" xfId="0" applyFont="1" applyBorder="1"/>
    <xf numFmtId="0" fontId="14" fillId="2" borderId="19" xfId="0" applyFont="1" applyFill="1" applyBorder="1" applyAlignment="1">
      <alignment horizontal="right"/>
    </xf>
    <xf numFmtId="0" fontId="14" fillId="2" borderId="16" xfId="0" applyFont="1" applyFill="1" applyBorder="1" applyAlignment="1">
      <alignment horizontal="right"/>
    </xf>
    <xf numFmtId="0" fontId="14" fillId="2" borderId="35" xfId="0" applyFont="1" applyFill="1" applyBorder="1" applyAlignment="1">
      <alignment horizontal="right"/>
    </xf>
    <xf numFmtId="1" fontId="41" fillId="8" borderId="29" xfId="0" applyNumberFormat="1" applyFont="1" applyFill="1" applyBorder="1" applyAlignment="1"/>
    <xf numFmtId="0" fontId="16" fillId="0" borderId="10" xfId="0" applyFont="1" applyBorder="1" applyAlignment="1">
      <alignment horizontal="center"/>
    </xf>
    <xf numFmtId="0" fontId="16" fillId="0" borderId="12" xfId="0" applyFont="1" applyBorder="1" applyAlignment="1">
      <alignment horizontal="center"/>
    </xf>
    <xf numFmtId="0" fontId="50" fillId="0" borderId="0" xfId="0" applyFont="1" applyAlignment="1">
      <alignment horizontal="center"/>
    </xf>
    <xf numFmtId="0" fontId="16" fillId="0" borderId="10" xfId="0" applyFont="1" applyBorder="1" applyAlignment="1">
      <alignment horizontal="center"/>
    </xf>
    <xf numFmtId="1" fontId="44" fillId="0" borderId="0" xfId="0" applyNumberFormat="1" applyFont="1" applyFill="1" applyBorder="1" applyAlignment="1">
      <alignment horizontal="center"/>
    </xf>
    <xf numFmtId="0" fontId="16" fillId="0" borderId="10" xfId="0" applyFont="1" applyBorder="1" applyAlignment="1">
      <alignment horizontal="center"/>
    </xf>
    <xf numFmtId="0" fontId="16" fillId="0" borderId="0" xfId="0" applyFont="1" applyBorder="1" applyAlignment="1">
      <alignment horizontal="center"/>
    </xf>
    <xf numFmtId="0" fontId="16" fillId="0" borderId="0" xfId="0" applyFont="1" applyAlignment="1">
      <alignment horizontal="center"/>
    </xf>
    <xf numFmtId="0" fontId="16" fillId="0" borderId="0" xfId="0" applyFont="1"/>
    <xf numFmtId="3" fontId="55" fillId="0" borderId="36" xfId="0" applyNumberFormat="1" applyFont="1" applyBorder="1" applyProtection="1"/>
    <xf numFmtId="3" fontId="0" fillId="0" borderId="36" xfId="0" applyNumberFormat="1" applyBorder="1" applyProtection="1"/>
    <xf numFmtId="3" fontId="57" fillId="0" borderId="36" xfId="0" applyNumberFormat="1" applyFont="1" applyBorder="1" applyProtection="1"/>
    <xf numFmtId="168" fontId="14" fillId="2" borderId="1" xfId="1" applyNumberFormat="1" applyFont="1" applyFill="1" applyBorder="1" applyAlignment="1" applyProtection="1">
      <alignment horizontal="center"/>
      <protection locked="0"/>
    </xf>
    <xf numFmtId="0" fontId="0" fillId="0" borderId="0" xfId="0" applyBorder="1" applyAlignment="1"/>
    <xf numFmtId="0" fontId="0" fillId="0" borderId="22" xfId="0" applyBorder="1" applyAlignment="1">
      <alignment horizontal="center"/>
    </xf>
    <xf numFmtId="0" fontId="16" fillId="0" borderId="41" xfId="0" applyFont="1" applyBorder="1" applyAlignment="1">
      <alignment horizontal="center"/>
    </xf>
    <xf numFmtId="0" fontId="16" fillId="0" borderId="42" xfId="0" applyFont="1" applyBorder="1" applyAlignment="1">
      <alignment horizontal="center"/>
    </xf>
    <xf numFmtId="3" fontId="59" fillId="0" borderId="40" xfId="0" applyNumberFormat="1" applyFont="1" applyBorder="1" applyAlignment="1" applyProtection="1">
      <alignment horizontal="center"/>
    </xf>
    <xf numFmtId="3" fontId="59" fillId="0" borderId="1" xfId="0" applyNumberFormat="1" applyFont="1" applyBorder="1" applyAlignment="1" applyProtection="1">
      <alignment horizontal="center"/>
    </xf>
    <xf numFmtId="3" fontId="59" fillId="0" borderId="12" xfId="0" applyNumberFormat="1" applyFont="1" applyBorder="1" applyAlignment="1" applyProtection="1">
      <alignment horizontal="center"/>
    </xf>
    <xf numFmtId="0" fontId="16" fillId="0" borderId="10" xfId="0" applyFont="1" applyBorder="1" applyAlignment="1">
      <alignment horizontal="center"/>
    </xf>
    <xf numFmtId="0" fontId="16" fillId="0" borderId="12" xfId="0" applyFont="1" applyBorder="1" applyAlignment="1">
      <alignment horizontal="center"/>
    </xf>
    <xf numFmtId="168" fontId="14" fillId="4" borderId="6" xfId="1" applyNumberFormat="1" applyFont="1" applyFill="1" applyBorder="1" applyAlignment="1">
      <alignment horizontal="right"/>
    </xf>
    <xf numFmtId="168" fontId="41" fillId="4" borderId="6" xfId="0" applyNumberFormat="1" applyFont="1" applyFill="1" applyBorder="1"/>
    <xf numFmtId="3" fontId="16" fillId="0" borderId="1" xfId="0" applyNumberFormat="1" applyFont="1" applyBorder="1" applyAlignment="1">
      <alignment horizontal="right"/>
    </xf>
    <xf numFmtId="3" fontId="16" fillId="0" borderId="1" xfId="1" applyNumberFormat="1" applyFont="1" applyBorder="1" applyAlignment="1">
      <alignment horizontal="right"/>
    </xf>
    <xf numFmtId="3" fontId="16" fillId="0" borderId="0" xfId="0" applyNumberFormat="1" applyFont="1" applyAlignment="1">
      <alignment horizontal="right"/>
    </xf>
    <xf numFmtId="4" fontId="16" fillId="0" borderId="1" xfId="0" applyNumberFormat="1" applyFont="1" applyBorder="1" applyAlignment="1">
      <alignment horizontal="right"/>
    </xf>
    <xf numFmtId="0" fontId="60" fillId="0" borderId="0" xfId="0" applyFont="1"/>
    <xf numFmtId="0" fontId="61" fillId="0" borderId="0" xfId="0" applyFont="1" applyAlignment="1"/>
    <xf numFmtId="0" fontId="61" fillId="0" borderId="0" xfId="0" applyFont="1" applyFill="1" applyAlignment="1">
      <alignment horizontal="left"/>
    </xf>
    <xf numFmtId="0" fontId="62" fillId="0" borderId="0" xfId="0" applyFont="1"/>
    <xf numFmtId="0" fontId="0" fillId="0" borderId="11" xfId="0" applyBorder="1" applyAlignment="1">
      <alignment horizontal="center"/>
    </xf>
    <xf numFmtId="0" fontId="21" fillId="0" borderId="0" xfId="0" applyFont="1" applyFill="1" applyBorder="1"/>
    <xf numFmtId="0" fontId="21" fillId="0" borderId="6" xfId="0" applyFont="1" applyFill="1" applyBorder="1"/>
    <xf numFmtId="0" fontId="0" fillId="0" borderId="8" xfId="0" applyFill="1" applyBorder="1" applyAlignment="1">
      <alignment horizontal="center"/>
    </xf>
    <xf numFmtId="15" fontId="0" fillId="0" borderId="9" xfId="0" applyNumberFormat="1" applyFill="1" applyBorder="1" applyAlignment="1">
      <alignment horizontal="center"/>
    </xf>
    <xf numFmtId="15" fontId="0" fillId="0" borderId="8" xfId="0" applyNumberFormat="1" applyFill="1" applyBorder="1" applyAlignment="1">
      <alignment horizontal="center"/>
    </xf>
    <xf numFmtId="0" fontId="18" fillId="0" borderId="0" xfId="0" applyFont="1" applyFill="1" applyBorder="1" applyAlignment="1">
      <alignment horizontal="center"/>
    </xf>
    <xf numFmtId="15" fontId="0" fillId="0" borderId="0" xfId="0" applyNumberFormat="1" applyFill="1" applyBorder="1" applyAlignment="1">
      <alignment horizontal="center"/>
    </xf>
    <xf numFmtId="0" fontId="30" fillId="0" borderId="0" xfId="0" applyFont="1" applyFill="1" applyBorder="1"/>
    <xf numFmtId="0" fontId="18" fillId="0" borderId="6" xfId="0" applyFont="1" applyFill="1" applyBorder="1" applyAlignment="1">
      <alignment horizontal="center"/>
    </xf>
    <xf numFmtId="0" fontId="0" fillId="0" borderId="6" xfId="0" applyFill="1" applyBorder="1" applyAlignment="1">
      <alignment horizontal="center"/>
    </xf>
    <xf numFmtId="0" fontId="21" fillId="0" borderId="8" xfId="0" applyFont="1" applyFill="1" applyBorder="1"/>
    <xf numFmtId="0" fontId="16" fillId="0" borderId="10" xfId="0" applyFont="1" applyBorder="1" applyAlignment="1">
      <alignment horizontal="center"/>
    </xf>
    <xf numFmtId="0" fontId="32" fillId="2" borderId="20" xfId="0" applyFont="1" applyFill="1" applyBorder="1" applyAlignment="1" applyProtection="1">
      <alignment horizontal="center"/>
      <protection locked="0"/>
    </xf>
    <xf numFmtId="0" fontId="16" fillId="0" borderId="36" xfId="0" applyFont="1" applyBorder="1"/>
    <xf numFmtId="0" fontId="16" fillId="0" borderId="36" xfId="0" applyFont="1" applyBorder="1" applyAlignment="1">
      <alignment horizontal="center"/>
    </xf>
    <xf numFmtId="1" fontId="16" fillId="0" borderId="12" xfId="0" applyNumberFormat="1" applyFont="1" applyBorder="1" applyAlignment="1">
      <alignment horizontal="center"/>
    </xf>
    <xf numFmtId="0" fontId="16" fillId="0" borderId="0" xfId="0" applyFont="1" applyBorder="1"/>
    <xf numFmtId="1" fontId="16" fillId="0" borderId="0" xfId="0" applyNumberFormat="1" applyFont="1" applyBorder="1" applyAlignment="1">
      <alignment horizontal="center"/>
    </xf>
    <xf numFmtId="0" fontId="11" fillId="0" borderId="0" xfId="0" applyFont="1" applyAlignment="1">
      <alignment horizontal="center"/>
    </xf>
    <xf numFmtId="0" fontId="14" fillId="0" borderId="0" xfId="0" applyFont="1" applyBorder="1"/>
    <xf numFmtId="1" fontId="14" fillId="0" borderId="0" xfId="0" applyNumberFormat="1" applyFont="1" applyBorder="1" applyAlignment="1">
      <alignment horizontal="center"/>
    </xf>
    <xf numFmtId="0" fontId="53" fillId="0" borderId="0" xfId="0" applyFont="1" applyFill="1" applyAlignment="1">
      <alignment horizontal="center"/>
    </xf>
    <xf numFmtId="0" fontId="41" fillId="2" borderId="43" xfId="0" applyFont="1" applyFill="1" applyBorder="1" applyAlignment="1" applyProtection="1">
      <alignment horizontal="center"/>
      <protection locked="0"/>
    </xf>
    <xf numFmtId="0" fontId="63" fillId="0" borderId="0" xfId="0" applyFont="1"/>
    <xf numFmtId="0" fontId="14" fillId="0" borderId="0" xfId="0" applyFont="1" applyBorder="1" applyAlignment="1">
      <alignment horizontal="left"/>
    </xf>
    <xf numFmtId="0" fontId="21" fillId="10" borderId="15" xfId="0" quotePrefix="1" applyFont="1" applyFill="1" applyBorder="1" applyAlignment="1" applyProtection="1">
      <alignment horizontal="center"/>
      <protection locked="0"/>
    </xf>
    <xf numFmtId="0" fontId="21" fillId="6" borderId="15" xfId="0" quotePrefix="1" applyFont="1" applyFill="1" applyBorder="1" applyAlignment="1" applyProtection="1">
      <alignment horizontal="center"/>
      <protection locked="0"/>
    </xf>
    <xf numFmtId="0" fontId="32" fillId="2" borderId="26" xfId="0" applyFont="1" applyFill="1" applyBorder="1" applyAlignment="1" applyProtection="1">
      <alignment horizontal="center"/>
      <protection locked="0"/>
    </xf>
    <xf numFmtId="0" fontId="34" fillId="0" borderId="0" xfId="0" applyFont="1" applyAlignment="1">
      <alignment horizontal="center"/>
    </xf>
    <xf numFmtId="0" fontId="16" fillId="0" borderId="10" xfId="0" applyFont="1" applyBorder="1" applyAlignment="1">
      <alignment horizontal="center"/>
    </xf>
    <xf numFmtId="168" fontId="32" fillId="2" borderId="14" xfId="1" quotePrefix="1" applyNumberFormat="1" applyFont="1" applyFill="1" applyBorder="1" applyAlignment="1" applyProtection="1">
      <alignment horizontal="center"/>
      <protection locked="0"/>
    </xf>
    <xf numFmtId="0" fontId="65" fillId="0" borderId="0" xfId="0" applyFont="1" applyAlignment="1">
      <alignment horizontal="left" vertical="center"/>
    </xf>
    <xf numFmtId="0" fontId="66" fillId="0" borderId="0" xfId="0" applyFont="1"/>
    <xf numFmtId="164" fontId="67" fillId="0" borderId="0" xfId="0" applyNumberFormat="1" applyFont="1" applyAlignment="1">
      <alignment horizontal="right"/>
    </xf>
    <xf numFmtId="168" fontId="32" fillId="2" borderId="1" xfId="0" quotePrefix="1" applyNumberFormat="1" applyFont="1" applyFill="1" applyBorder="1" applyAlignment="1" applyProtection="1">
      <alignment horizontal="center"/>
      <protection locked="0"/>
    </xf>
    <xf numFmtId="4" fontId="32" fillId="2" borderId="1" xfId="0" applyNumberFormat="1" applyFont="1" applyFill="1" applyBorder="1" applyAlignment="1" applyProtection="1">
      <alignment horizontal="center"/>
      <protection locked="0"/>
    </xf>
    <xf numFmtId="0" fontId="34" fillId="0" borderId="0" xfId="0" applyFont="1" applyAlignment="1">
      <alignment horizontal="center"/>
    </xf>
    <xf numFmtId="0" fontId="16" fillId="0" borderId="10" xfId="0" applyFont="1" applyBorder="1" applyAlignment="1">
      <alignment horizontal="center"/>
    </xf>
    <xf numFmtId="0" fontId="16" fillId="0" borderId="10" xfId="0" applyFont="1" applyBorder="1" applyAlignment="1">
      <alignment horizontal="center"/>
    </xf>
    <xf numFmtId="0" fontId="16" fillId="0" borderId="12" xfId="0" applyFont="1" applyBorder="1" applyAlignment="1">
      <alignment horizontal="center"/>
    </xf>
    <xf numFmtId="0" fontId="34" fillId="0" borderId="0" xfId="0" applyFont="1" applyAlignment="1">
      <alignment horizontal="center"/>
    </xf>
    <xf numFmtId="9" fontId="14" fillId="0" borderId="0" xfId="2" applyFont="1"/>
    <xf numFmtId="1" fontId="14" fillId="0" borderId="0" xfId="0" applyNumberFormat="1" applyFont="1"/>
    <xf numFmtId="0" fontId="16" fillId="0" borderId="5" xfId="0" applyFont="1" applyBorder="1" applyAlignment="1">
      <alignment horizontal="center"/>
    </xf>
    <xf numFmtId="3" fontId="59" fillId="0" borderId="13" xfId="0" applyNumberFormat="1" applyFont="1" applyBorder="1" applyAlignment="1" applyProtection="1">
      <alignment horizontal="center"/>
    </xf>
    <xf numFmtId="0" fontId="69" fillId="2" borderId="34" xfId="0" applyFont="1" applyFill="1" applyBorder="1" applyAlignment="1" applyProtection="1">
      <alignment horizontal="center"/>
      <protection locked="0"/>
    </xf>
    <xf numFmtId="0" fontId="70" fillId="2" borderId="35" xfId="0" applyFont="1" applyFill="1" applyBorder="1" applyAlignment="1">
      <alignment horizontal="right"/>
    </xf>
    <xf numFmtId="0" fontId="32" fillId="2" borderId="31" xfId="0" applyFont="1" applyFill="1" applyBorder="1" applyAlignment="1" applyProtection="1">
      <alignment horizontal="center"/>
      <protection locked="0"/>
    </xf>
    <xf numFmtId="0" fontId="70" fillId="2" borderId="19" xfId="0" applyFont="1" applyFill="1" applyBorder="1" applyAlignment="1">
      <alignment horizontal="right"/>
    </xf>
    <xf numFmtId="1" fontId="45" fillId="0" borderId="0" xfId="0" applyNumberFormat="1" applyFont="1" applyBorder="1" applyAlignment="1">
      <alignment horizontal="center"/>
    </xf>
    <xf numFmtId="1" fontId="16" fillId="0" borderId="36" xfId="0" applyNumberFormat="1" applyFont="1" applyBorder="1" applyAlignment="1">
      <alignment horizontal="center"/>
    </xf>
    <xf numFmtId="0" fontId="34" fillId="0" borderId="0" xfId="0" applyFont="1" applyAlignment="1">
      <alignment horizontal="center"/>
    </xf>
    <xf numFmtId="0" fontId="70" fillId="2" borderId="16" xfId="0" applyFont="1" applyFill="1" applyBorder="1" applyAlignment="1">
      <alignment horizontal="right"/>
    </xf>
    <xf numFmtId="0" fontId="32" fillId="2" borderId="32" xfId="0" applyFont="1" applyFill="1" applyBorder="1" applyAlignment="1" applyProtection="1">
      <alignment horizontal="center"/>
      <protection locked="0"/>
    </xf>
    <xf numFmtId="0" fontId="14" fillId="0" borderId="0" xfId="0" quotePrefix="1" applyFont="1"/>
    <xf numFmtId="0" fontId="45" fillId="0" borderId="0" xfId="0" applyFont="1" applyBorder="1"/>
    <xf numFmtId="0" fontId="45" fillId="0" borderId="0" xfId="0" applyFont="1"/>
    <xf numFmtId="1" fontId="45" fillId="0" borderId="0" xfId="0" applyNumberFormat="1" applyFont="1" applyBorder="1"/>
    <xf numFmtId="0" fontId="41" fillId="0" borderId="0" xfId="0" quotePrefix="1" applyFont="1" applyFill="1" applyBorder="1" applyAlignment="1" applyProtection="1">
      <alignment horizontal="left"/>
      <protection locked="0"/>
    </xf>
    <xf numFmtId="0" fontId="14" fillId="0" borderId="0" xfId="0" applyFont="1" applyAlignment="1">
      <alignment horizontal="left"/>
    </xf>
    <xf numFmtId="0" fontId="71" fillId="0" borderId="0" xfId="0" applyFont="1"/>
    <xf numFmtId="0" fontId="20" fillId="0" borderId="0" xfId="0" applyFont="1" applyAlignment="1">
      <alignment horizontal="left"/>
    </xf>
    <xf numFmtId="3" fontId="67" fillId="0" borderId="0" xfId="0" applyNumberFormat="1" applyFont="1" applyBorder="1" applyAlignment="1" applyProtection="1">
      <alignment horizontal="center"/>
    </xf>
    <xf numFmtId="0" fontId="20" fillId="0" borderId="0" xfId="0" applyFont="1" applyAlignment="1">
      <alignment horizontal="center"/>
    </xf>
    <xf numFmtId="0" fontId="45" fillId="0" borderId="0" xfId="0" applyFont="1" applyAlignment="1">
      <alignment horizontal="center"/>
    </xf>
    <xf numFmtId="3" fontId="16" fillId="0" borderId="0" xfId="1" applyNumberFormat="1" applyFont="1" applyBorder="1" applyAlignment="1">
      <alignment horizontal="right"/>
    </xf>
    <xf numFmtId="0" fontId="74" fillId="6" borderId="15" xfId="0" quotePrefix="1" applyFont="1" applyFill="1" applyBorder="1" applyAlignment="1" applyProtection="1">
      <alignment horizontal="center"/>
      <protection locked="0"/>
    </xf>
    <xf numFmtId="0" fontId="73" fillId="0" borderId="0" xfId="0" applyFont="1" applyBorder="1"/>
    <xf numFmtId="0" fontId="72" fillId="0" borderId="0" xfId="0" applyFont="1" applyBorder="1"/>
    <xf numFmtId="0" fontId="70" fillId="0" borderId="0" xfId="0" applyFont="1" applyBorder="1"/>
    <xf numFmtId="16" fontId="14" fillId="0" borderId="0" xfId="0" applyNumberFormat="1" applyFont="1"/>
    <xf numFmtId="0" fontId="14" fillId="0" borderId="0" xfId="0" quotePrefix="1" applyFont="1" applyBorder="1"/>
    <xf numFmtId="0" fontId="70" fillId="0" borderId="0" xfId="0" quotePrefix="1" applyFont="1"/>
    <xf numFmtId="0" fontId="71" fillId="0" borderId="0" xfId="0" applyFont="1" applyBorder="1" applyAlignment="1">
      <alignment horizontal="center"/>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Alignment="1">
      <alignment horizontal="center"/>
    </xf>
    <xf numFmtId="0" fontId="70" fillId="0" borderId="0" xfId="0" applyFont="1"/>
    <xf numFmtId="0" fontId="70" fillId="0" borderId="0" xfId="0" quotePrefix="1" applyFont="1" applyBorder="1" applyAlignment="1">
      <alignment horizontal="left"/>
    </xf>
    <xf numFmtId="0" fontId="75" fillId="0" borderId="0" xfId="0" applyFont="1"/>
    <xf numFmtId="0" fontId="14" fillId="0" borderId="38" xfId="0" applyFont="1" applyBorder="1" applyAlignment="1">
      <alignment horizontal="center"/>
    </xf>
    <xf numFmtId="0" fontId="0" fillId="0" borderId="38" xfId="0" applyBorder="1"/>
    <xf numFmtId="3" fontId="55" fillId="0" borderId="38" xfId="0" applyNumberFormat="1" applyFont="1" applyBorder="1"/>
    <xf numFmtId="3" fontId="57" fillId="0" borderId="38" xfId="0" applyNumberFormat="1" applyFont="1" applyBorder="1"/>
    <xf numFmtId="0" fontId="14" fillId="0" borderId="44" xfId="0" applyFont="1" applyBorder="1" applyAlignment="1">
      <alignment horizontal="center"/>
    </xf>
    <xf numFmtId="0" fontId="0" fillId="0" borderId="44" xfId="0" applyBorder="1"/>
    <xf numFmtId="0" fontId="77" fillId="0" borderId="0" xfId="0" applyFont="1"/>
    <xf numFmtId="164" fontId="78" fillId="0" borderId="0" xfId="0" applyNumberFormat="1" applyFont="1" applyAlignment="1">
      <alignment horizontal="right"/>
    </xf>
    <xf numFmtId="3" fontId="24" fillId="0" borderId="25" xfId="0" applyNumberFormat="1" applyFont="1" applyBorder="1" applyAlignment="1">
      <alignment horizontal="center"/>
    </xf>
    <xf numFmtId="0" fontId="16" fillId="0" borderId="10" xfId="0" applyFont="1" applyBorder="1" applyAlignment="1">
      <alignment horizontal="center"/>
    </xf>
    <xf numFmtId="0" fontId="0" fillId="0" borderId="46" xfId="0" applyBorder="1"/>
    <xf numFmtId="3" fontId="24" fillId="0" borderId="47" xfId="0" applyNumberFormat="1" applyFont="1" applyBorder="1" applyAlignment="1">
      <alignment horizontal="center"/>
    </xf>
    <xf numFmtId="0" fontId="0" fillId="0" borderId="45" xfId="0" applyBorder="1"/>
    <xf numFmtId="3" fontId="24" fillId="0" borderId="28" xfId="0" applyNumberFormat="1" applyFont="1" applyBorder="1" applyAlignment="1">
      <alignment horizontal="center"/>
    </xf>
    <xf numFmtId="1" fontId="14" fillId="0" borderId="0" xfId="0" applyNumberFormat="1" applyFont="1" applyBorder="1" applyAlignment="1">
      <alignment horizontal="left"/>
    </xf>
    <xf numFmtId="9" fontId="45" fillId="0" borderId="0" xfId="2" applyFont="1"/>
    <xf numFmtId="1" fontId="45" fillId="0" borderId="0" xfId="0" applyNumberFormat="1" applyFont="1"/>
    <xf numFmtId="0" fontId="45" fillId="0" borderId="0" xfId="0" applyFont="1" applyFill="1" applyBorder="1" applyAlignment="1"/>
    <xf numFmtId="0" fontId="45" fillId="4" borderId="2" xfId="0" applyFont="1" applyFill="1" applyBorder="1" applyAlignment="1"/>
    <xf numFmtId="0" fontId="45" fillId="4" borderId="3" xfId="0" applyFont="1" applyFill="1" applyBorder="1" applyAlignment="1"/>
    <xf numFmtId="0" fontId="45" fillId="4" borderId="4" xfId="0" applyFont="1" applyFill="1" applyBorder="1" applyAlignment="1"/>
    <xf numFmtId="0" fontId="21" fillId="0" borderId="0" xfId="0" applyFont="1" applyAlignment="1">
      <alignment horizontal="right"/>
    </xf>
    <xf numFmtId="0" fontId="17" fillId="0" borderId="0" xfId="0" applyFont="1"/>
    <xf numFmtId="0" fontId="17" fillId="0" borderId="0" xfId="0" applyFont="1" applyAlignment="1">
      <alignment horizontal="center"/>
    </xf>
    <xf numFmtId="1" fontId="14" fillId="0" borderId="0" xfId="0" applyNumberFormat="1" applyFont="1" applyAlignment="1">
      <alignment horizontal="center"/>
    </xf>
    <xf numFmtId="0" fontId="16" fillId="0" borderId="10" xfId="0" applyFont="1" applyBorder="1" applyAlignment="1">
      <alignment horizontal="center"/>
    </xf>
    <xf numFmtId="0" fontId="16" fillId="0" borderId="12" xfId="0" applyFont="1" applyBorder="1" applyAlignment="1">
      <alignment horizontal="center"/>
    </xf>
    <xf numFmtId="0" fontId="44" fillId="0" borderId="10" xfId="0" applyFont="1" applyFill="1" applyBorder="1" applyAlignment="1">
      <alignment horizontal="center"/>
    </xf>
    <xf numFmtId="0" fontId="44" fillId="0" borderId="11" xfId="0" applyFont="1" applyFill="1" applyBorder="1" applyAlignment="1">
      <alignment horizontal="center"/>
    </xf>
    <xf numFmtId="0" fontId="44" fillId="0" borderId="12" xfId="0" applyFont="1" applyFill="1" applyBorder="1" applyAlignment="1">
      <alignment horizontal="center"/>
    </xf>
    <xf numFmtId="0" fontId="70" fillId="0" borderId="0" xfId="0" applyFont="1" applyBorder="1" applyAlignment="1">
      <alignment horizontal="center"/>
    </xf>
    <xf numFmtId="0" fontId="41" fillId="2" borderId="20" xfId="0" applyFont="1" applyFill="1" applyBorder="1" applyAlignment="1" applyProtection="1">
      <alignment horizontal="left"/>
      <protection locked="0"/>
    </xf>
    <xf numFmtId="0" fontId="11" fillId="6" borderId="15" xfId="0" applyFont="1" applyFill="1" applyBorder="1" applyAlignment="1" applyProtection="1">
      <alignment horizontal="center"/>
      <protection locked="0"/>
    </xf>
    <xf numFmtId="9" fontId="71" fillId="0" borderId="0" xfId="2" applyFont="1"/>
    <xf numFmtId="1" fontId="71" fillId="0" borderId="0" xfId="0" applyNumberFormat="1" applyFont="1"/>
    <xf numFmtId="0" fontId="16" fillId="0" borderId="10" xfId="0" applyFont="1" applyBorder="1" applyAlignment="1">
      <alignment horizontal="center"/>
    </xf>
    <xf numFmtId="0" fontId="16" fillId="0" borderId="12" xfId="0" applyFont="1" applyBorder="1" applyAlignment="1">
      <alignment horizontal="center"/>
    </xf>
    <xf numFmtId="0" fontId="44" fillId="0" borderId="10" xfId="0" applyFont="1" applyFill="1" applyBorder="1" applyAlignment="1">
      <alignment horizontal="center"/>
    </xf>
    <xf numFmtId="0" fontId="44" fillId="0" borderId="11" xfId="0" applyFont="1" applyFill="1" applyBorder="1" applyAlignment="1">
      <alignment horizontal="center"/>
    </xf>
    <xf numFmtId="0" fontId="44" fillId="0" borderId="12" xfId="0" applyFont="1" applyFill="1" applyBorder="1" applyAlignment="1">
      <alignment horizontal="center"/>
    </xf>
    <xf numFmtId="0" fontId="16" fillId="0" borderId="8" xfId="0" applyFont="1" applyBorder="1"/>
    <xf numFmtId="0" fontId="33" fillId="0" borderId="10" xfId="0" applyFont="1" applyBorder="1"/>
    <xf numFmtId="0" fontId="16" fillId="0" borderId="11" xfId="0" applyFont="1" applyBorder="1"/>
    <xf numFmtId="0" fontId="16" fillId="0" borderId="12" xfId="0" applyFont="1" applyBorder="1"/>
    <xf numFmtId="0" fontId="33" fillId="0" borderId="5" xfId="0" applyFont="1" applyBorder="1"/>
    <xf numFmtId="0" fontId="16" fillId="0" borderId="6" xfId="0" applyFont="1" applyBorder="1"/>
    <xf numFmtId="0" fontId="16" fillId="0" borderId="5" xfId="0" applyFont="1" applyBorder="1"/>
    <xf numFmtId="0" fontId="16" fillId="0" borderId="0" xfId="0" applyFont="1" applyBorder="1" applyAlignment="1">
      <alignment horizontal="right"/>
    </xf>
    <xf numFmtId="1" fontId="16" fillId="0" borderId="0" xfId="0" applyNumberFormat="1" applyFont="1" applyBorder="1" applyAlignment="1">
      <alignment horizontal="right"/>
    </xf>
    <xf numFmtId="169" fontId="16" fillId="0" borderId="0" xfId="0" applyNumberFormat="1" applyFont="1" applyBorder="1" applyAlignment="1">
      <alignment horizontal="right"/>
    </xf>
    <xf numFmtId="169" fontId="16" fillId="0" borderId="0" xfId="0" applyNumberFormat="1" applyFont="1" applyBorder="1"/>
    <xf numFmtId="0" fontId="16" fillId="0" borderId="7" xfId="0" applyFont="1" applyBorder="1"/>
    <xf numFmtId="0" fontId="16" fillId="0" borderId="8" xfId="0" applyFont="1" applyBorder="1" applyAlignment="1">
      <alignment horizontal="right"/>
    </xf>
    <xf numFmtId="169" fontId="16" fillId="0" borderId="8" xfId="0" applyNumberFormat="1" applyFont="1" applyBorder="1"/>
    <xf numFmtId="0" fontId="16" fillId="0" borderId="9" xfId="0" applyFont="1" applyBorder="1"/>
    <xf numFmtId="169" fontId="16" fillId="0" borderId="8" xfId="0" applyNumberFormat="1" applyFont="1" applyBorder="1" applyAlignment="1">
      <alignment horizontal="right"/>
    </xf>
    <xf numFmtId="1" fontId="14" fillId="0" borderId="5" xfId="0" applyNumberFormat="1" applyFont="1" applyBorder="1" applyAlignment="1">
      <alignment horizontal="center"/>
    </xf>
    <xf numFmtId="0" fontId="14" fillId="0" borderId="5" xfId="0" applyFont="1" applyBorder="1"/>
    <xf numFmtId="1" fontId="14" fillId="0" borderId="7" xfId="0" applyNumberFormat="1" applyFont="1" applyBorder="1" applyAlignment="1">
      <alignment horizontal="center"/>
    </xf>
    <xf numFmtId="1" fontId="16" fillId="0" borderId="8" xfId="0" applyNumberFormat="1" applyFont="1" applyBorder="1" applyAlignment="1">
      <alignment horizontal="right"/>
    </xf>
    <xf numFmtId="37" fontId="14" fillId="12" borderId="1" xfId="1" applyNumberFormat="1" applyFont="1" applyFill="1" applyBorder="1" applyAlignment="1">
      <alignment horizontal="right"/>
    </xf>
    <xf numFmtId="0" fontId="73" fillId="0" borderId="0" xfId="0" applyFont="1"/>
    <xf numFmtId="0" fontId="73" fillId="0" borderId="0" xfId="0" applyFont="1" applyAlignment="1">
      <alignment horizontal="center"/>
    </xf>
    <xf numFmtId="0" fontId="6" fillId="0" borderId="0" xfId="0" applyFont="1" applyAlignment="1">
      <alignment horizontal="center"/>
    </xf>
    <xf numFmtId="0" fontId="1" fillId="0" borderId="0" xfId="0" applyFont="1" applyAlignment="1">
      <alignment horizontal="center"/>
    </xf>
    <xf numFmtId="166" fontId="27" fillId="0" borderId="0" xfId="0" applyNumberFormat="1" applyFont="1" applyAlignment="1" applyProtection="1">
      <alignment horizontal="center"/>
      <protection locked="0"/>
    </xf>
    <xf numFmtId="0" fontId="64" fillId="0" borderId="0" xfId="0" applyFont="1" applyAlignment="1">
      <alignment horizontal="center"/>
    </xf>
    <xf numFmtId="166" fontId="76" fillId="0" borderId="0" xfId="0" applyNumberFormat="1" applyFont="1" applyAlignment="1" applyProtection="1">
      <alignment horizontal="center"/>
      <protection locked="0"/>
    </xf>
    <xf numFmtId="0" fontId="34" fillId="0" borderId="0" xfId="0" applyFont="1" applyAlignment="1">
      <alignment horizontal="center"/>
    </xf>
    <xf numFmtId="0" fontId="13" fillId="0" borderId="0" xfId="0" applyFont="1" applyAlignment="1">
      <alignment horizontal="center"/>
    </xf>
    <xf numFmtId="0" fontId="16" fillId="0" borderId="2" xfId="0" applyFont="1" applyBorder="1" applyAlignment="1">
      <alignment horizontal="center"/>
    </xf>
    <xf numFmtId="0" fontId="16" fillId="0" borderId="7" xfId="0" applyFont="1" applyBorder="1" applyAlignment="1">
      <alignment horizontal="center"/>
    </xf>
    <xf numFmtId="0" fontId="16" fillId="0" borderId="22" xfId="0" applyFont="1" applyBorder="1" applyAlignment="1">
      <alignment horizontal="center"/>
    </xf>
    <xf numFmtId="0" fontId="16" fillId="0" borderId="14" xfId="0" applyFont="1" applyBorder="1" applyAlignment="1">
      <alignment horizontal="center"/>
    </xf>
    <xf numFmtId="0" fontId="16" fillId="0" borderId="4" xfId="0" applyFont="1" applyBorder="1" applyAlignment="1">
      <alignment horizontal="center"/>
    </xf>
    <xf numFmtId="0" fontId="16" fillId="0" borderId="9" xfId="0" applyFont="1" applyBorder="1" applyAlignment="1">
      <alignment horizontal="center"/>
    </xf>
    <xf numFmtId="166" fontId="68" fillId="0" borderId="0" xfId="0" applyNumberFormat="1" applyFont="1" applyAlignment="1" applyProtection="1">
      <alignment horizontal="center"/>
      <protection locked="0"/>
    </xf>
    <xf numFmtId="0" fontId="22" fillId="0" borderId="0" xfId="0" applyFont="1" applyAlignment="1">
      <alignment horizontal="center"/>
    </xf>
    <xf numFmtId="0" fontId="50" fillId="0" borderId="0" xfId="0" applyFont="1" applyAlignment="1">
      <alignment horizontal="center"/>
    </xf>
    <xf numFmtId="0" fontId="0" fillId="0" borderId="0" xfId="0" applyBorder="1" applyAlignment="1">
      <alignment horizontal="center"/>
    </xf>
    <xf numFmtId="0" fontId="18" fillId="11" borderId="0" xfId="0" applyFont="1" applyFill="1" applyAlignment="1">
      <alignment horizontal="center"/>
    </xf>
    <xf numFmtId="0" fontId="58" fillId="0" borderId="0" xfId="0" applyFont="1" applyAlignment="1">
      <alignment horizontal="center" vertical="center"/>
    </xf>
    <xf numFmtId="0" fontId="16" fillId="0" borderId="10" xfId="0" applyFont="1" applyBorder="1" applyAlignment="1">
      <alignment horizontal="center"/>
    </xf>
    <xf numFmtId="0" fontId="16" fillId="0" borderId="12" xfId="0" applyFont="1" applyBorder="1" applyAlignment="1">
      <alignment horizontal="center"/>
    </xf>
    <xf numFmtId="0" fontId="44" fillId="0" borderId="10" xfId="0" applyFont="1" applyFill="1" applyBorder="1" applyAlignment="1">
      <alignment horizontal="center"/>
    </xf>
    <xf numFmtId="0" fontId="44" fillId="0" borderId="11" xfId="0" applyFont="1" applyFill="1" applyBorder="1" applyAlignment="1">
      <alignment horizontal="center"/>
    </xf>
    <xf numFmtId="0" fontId="44" fillId="0" borderId="12" xfId="0" applyFont="1" applyFill="1" applyBorder="1" applyAlignment="1">
      <alignment horizontal="center"/>
    </xf>
    <xf numFmtId="0" fontId="40" fillId="0" borderId="0" xfId="0" applyFont="1" applyAlignment="1">
      <alignment horizontal="center"/>
    </xf>
    <xf numFmtId="0" fontId="45" fillId="6" borderId="2" xfId="0" applyFont="1" applyFill="1" applyBorder="1" applyAlignment="1">
      <alignment horizontal="center"/>
    </xf>
    <xf numFmtId="0" fontId="45" fillId="6" borderId="3" xfId="0" applyFont="1" applyFill="1" applyBorder="1" applyAlignment="1">
      <alignment horizontal="center"/>
    </xf>
    <xf numFmtId="0" fontId="45" fillId="6" borderId="4" xfId="0" applyFont="1" applyFill="1" applyBorder="1" applyAlignment="1">
      <alignment horizontal="center"/>
    </xf>
    <xf numFmtId="49" fontId="46" fillId="5" borderId="0" xfId="0" applyNumberFormat="1" applyFont="1" applyFill="1" applyBorder="1" applyAlignment="1">
      <alignment horizontal="left" vertical="top" wrapText="1"/>
    </xf>
    <xf numFmtId="1" fontId="14" fillId="7" borderId="10" xfId="0" applyNumberFormat="1" applyFont="1" applyFill="1" applyBorder="1" applyAlignment="1">
      <alignment horizontal="center"/>
    </xf>
    <xf numFmtId="1" fontId="14" fillId="7" borderId="11" xfId="0" applyNumberFormat="1" applyFont="1" applyFill="1" applyBorder="1" applyAlignment="1">
      <alignment horizontal="center"/>
    </xf>
    <xf numFmtId="1" fontId="14" fillId="7" borderId="12" xfId="0" applyNumberFormat="1" applyFont="1" applyFill="1" applyBorder="1" applyAlignment="1">
      <alignment horizontal="center"/>
    </xf>
    <xf numFmtId="0" fontId="38" fillId="0" borderId="2" xfId="0" applyFont="1" applyBorder="1" applyAlignment="1">
      <alignment horizontal="center"/>
    </xf>
    <xf numFmtId="0" fontId="38" fillId="0" borderId="3" xfId="0" applyFont="1" applyBorder="1" applyAlignment="1">
      <alignment horizontal="center"/>
    </xf>
    <xf numFmtId="0" fontId="38" fillId="0" borderId="4" xfId="0" applyFont="1" applyBorder="1" applyAlignment="1">
      <alignment horizontal="center"/>
    </xf>
    <xf numFmtId="0" fontId="39" fillId="0" borderId="10" xfId="0" applyFont="1" applyBorder="1" applyAlignment="1">
      <alignment horizontal="center"/>
    </xf>
    <xf numFmtId="0" fontId="39" fillId="0" borderId="11" xfId="0" applyFont="1" applyBorder="1" applyAlignment="1">
      <alignment horizontal="center"/>
    </xf>
    <xf numFmtId="0" fontId="39" fillId="0" borderId="12" xfId="0" applyFont="1" applyBorder="1" applyAlignment="1">
      <alignment horizontal="center"/>
    </xf>
    <xf numFmtId="49" fontId="18" fillId="0" borderId="10" xfId="0" applyNumberFormat="1" applyFont="1" applyBorder="1" applyAlignment="1">
      <alignment horizontal="center"/>
    </xf>
    <xf numFmtId="49" fontId="18" fillId="0" borderId="11" xfId="0" applyNumberFormat="1" applyFont="1" applyBorder="1" applyAlignment="1">
      <alignment horizontal="center"/>
    </xf>
    <xf numFmtId="49" fontId="18" fillId="0" borderId="12" xfId="0" applyNumberFormat="1"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21" fillId="0" borderId="10" xfId="0" applyFont="1" applyBorder="1" applyAlignment="1">
      <alignment horizontal="center"/>
    </xf>
    <xf numFmtId="0" fontId="21" fillId="0" borderId="11" xfId="0" applyFont="1" applyBorder="1" applyAlignment="1">
      <alignment horizontal="center"/>
    </xf>
    <xf numFmtId="0" fontId="21" fillId="0" borderId="12" xfId="0" applyFont="1" applyBorder="1" applyAlignment="1">
      <alignment horizontal="center"/>
    </xf>
    <xf numFmtId="0" fontId="28" fillId="0" borderId="0" xfId="0" applyFont="1" applyFill="1"/>
    <xf numFmtId="1" fontId="21" fillId="0" borderId="0" xfId="0" applyNumberFormat="1" applyFont="1" applyFill="1"/>
    <xf numFmtId="165" fontId="21" fillId="0" borderId="0" xfId="0" applyNumberFormat="1" applyFont="1" applyFill="1"/>
  </cellXfs>
  <cellStyles count="3">
    <cellStyle name="Comma" xfId="1" builtinId="3"/>
    <cellStyle name="Normal" xfId="0" builtinId="0"/>
    <cellStyle name="Percent" xfId="2" builtinId="5"/>
  </cellStyles>
  <dxfs count="27">
    <dxf>
      <fill>
        <patternFill>
          <bgColor rgb="FFFF0000"/>
        </patternFill>
      </fill>
    </dxf>
    <dxf>
      <font>
        <color rgb="FF00B050"/>
      </font>
      <fill>
        <patternFill patternType="none">
          <bgColor auto="1"/>
        </patternFill>
      </fill>
    </dxf>
    <dxf>
      <font>
        <color rgb="FFFF0000"/>
      </font>
    </dxf>
    <dxf>
      <fill>
        <patternFill>
          <bgColor rgb="FF92D050"/>
        </patternFill>
      </fill>
    </dxf>
    <dxf>
      <fill>
        <patternFill>
          <bgColor rgb="FFFF6565"/>
        </patternFill>
      </fill>
    </dxf>
    <dxf>
      <fill>
        <patternFill>
          <bgColor rgb="FFFFC000"/>
        </patternFill>
      </fill>
    </dxf>
    <dxf>
      <fill>
        <patternFill>
          <bgColor rgb="FF92D050"/>
        </patternFill>
      </fill>
    </dxf>
    <dxf>
      <fill>
        <patternFill>
          <bgColor rgb="FFFF6565"/>
        </patternFill>
      </fill>
    </dxf>
    <dxf>
      <fill>
        <patternFill>
          <bgColor rgb="FFFFC000"/>
        </patternFill>
      </fill>
    </dxf>
    <dxf>
      <fill>
        <patternFill>
          <bgColor rgb="FF92D050"/>
        </patternFill>
      </fill>
    </dxf>
    <dxf>
      <fill>
        <patternFill>
          <bgColor rgb="FFFF6565"/>
        </patternFill>
      </fill>
    </dxf>
    <dxf>
      <fill>
        <patternFill>
          <bgColor rgb="FFFFC000"/>
        </patternFill>
      </fill>
    </dxf>
    <dxf>
      <fill>
        <patternFill>
          <bgColor rgb="FF92D050"/>
        </patternFill>
      </fill>
    </dxf>
    <dxf>
      <fill>
        <patternFill>
          <bgColor rgb="FFFF6565"/>
        </patternFill>
      </fill>
    </dxf>
    <dxf>
      <fill>
        <patternFill>
          <bgColor rgb="FFFFC000"/>
        </patternFill>
      </fill>
    </dxf>
    <dxf>
      <fill>
        <patternFill>
          <bgColor rgb="FFFFC000"/>
        </patternFill>
      </fill>
    </dxf>
    <dxf>
      <fill>
        <patternFill>
          <bgColor rgb="FFFF6565"/>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0975A"/>
      <color rgb="FFF5BDC6"/>
      <color rgb="FF66CCFF"/>
      <color rgb="FFD3B795"/>
      <color rgb="FFA98F73"/>
      <color rgb="FF0BF90B"/>
      <color rgb="FFD6BB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96804352720954"/>
          <c:y val="0.22652806039694476"/>
          <c:w val="0.50133500025588729"/>
          <c:h val="0.72135977992730871"/>
        </c:manualLayout>
      </c:layout>
      <c:pieChart>
        <c:varyColors val="1"/>
        <c:ser>
          <c:idx val="0"/>
          <c:order val="0"/>
          <c:tx>
            <c:strRef>
              <c:f>'Tons By Miner'!$B$7:$B$16</c:f>
              <c:strCache>
                <c:ptCount val="10"/>
                <c:pt idx="0">
                  <c:v>4R#1: 969500</c:v>
                </c:pt>
                <c:pt idx="1">
                  <c:v>4R#2: 969501</c:v>
                </c:pt>
                <c:pt idx="2">
                  <c:v>4R#3: 969502</c:v>
                </c:pt>
                <c:pt idx="3">
                  <c:v>4R#4: 969503</c:v>
                </c:pt>
                <c:pt idx="4">
                  <c:v>4R#5: 969504</c:v>
                </c:pt>
                <c:pt idx="5">
                  <c:v>DM#1: 968900</c:v>
                </c:pt>
                <c:pt idx="6">
                  <c:v>DM#2: 968901</c:v>
                </c:pt>
                <c:pt idx="7">
                  <c:v>DM#3: 968903</c:v>
                </c:pt>
                <c:pt idx="8">
                  <c:v>DM#4: 968904</c:v>
                </c:pt>
                <c:pt idx="9">
                  <c:v>Other</c:v>
                </c:pt>
              </c:strCache>
            </c:strRef>
          </c:tx>
          <c:dPt>
            <c:idx val="0"/>
            <c:bubble3D val="0"/>
            <c:spPr>
              <a:solidFill>
                <a:schemeClr val="accent1"/>
              </a:solidFill>
              <a:ln>
                <a:noFill/>
              </a:ln>
              <a:effectLst/>
            </c:spPr>
            <c:extLst>
              <c:ext xmlns:c16="http://schemas.microsoft.com/office/drawing/2014/chart" uri="{C3380CC4-5D6E-409C-BE32-E72D297353CC}">
                <c16:uniqueId val="{00000001-69EB-4BEF-8146-D897082847E7}"/>
              </c:ext>
            </c:extLst>
          </c:dPt>
          <c:dPt>
            <c:idx val="1"/>
            <c:bubble3D val="0"/>
            <c:spPr>
              <a:solidFill>
                <a:schemeClr val="accent2"/>
              </a:solidFill>
              <a:ln>
                <a:noFill/>
              </a:ln>
              <a:effectLst/>
            </c:spPr>
            <c:extLst>
              <c:ext xmlns:c16="http://schemas.microsoft.com/office/drawing/2014/chart" uri="{C3380CC4-5D6E-409C-BE32-E72D297353CC}">
                <c16:uniqueId val="{00000003-69EB-4BEF-8146-D897082847E7}"/>
              </c:ext>
            </c:extLst>
          </c:dPt>
          <c:dPt>
            <c:idx val="2"/>
            <c:bubble3D val="0"/>
            <c:spPr>
              <a:solidFill>
                <a:schemeClr val="accent3"/>
              </a:solidFill>
              <a:ln>
                <a:noFill/>
              </a:ln>
              <a:effectLst/>
            </c:spPr>
            <c:extLst>
              <c:ext xmlns:c16="http://schemas.microsoft.com/office/drawing/2014/chart" uri="{C3380CC4-5D6E-409C-BE32-E72D297353CC}">
                <c16:uniqueId val="{00000015-46A9-42C1-A40C-0E893461C81E}"/>
              </c:ext>
            </c:extLst>
          </c:dPt>
          <c:dPt>
            <c:idx val="3"/>
            <c:bubble3D val="0"/>
            <c:spPr>
              <a:solidFill>
                <a:schemeClr val="accent4"/>
              </a:solidFill>
              <a:ln>
                <a:noFill/>
              </a:ln>
              <a:effectLst/>
            </c:spPr>
            <c:extLst>
              <c:ext xmlns:c16="http://schemas.microsoft.com/office/drawing/2014/chart" uri="{C3380CC4-5D6E-409C-BE32-E72D297353CC}">
                <c16:uniqueId val="{00000017-46A9-42C1-A40C-0E893461C81E}"/>
              </c:ext>
            </c:extLst>
          </c:dPt>
          <c:dPt>
            <c:idx val="4"/>
            <c:bubble3D val="0"/>
            <c:spPr>
              <a:solidFill>
                <a:schemeClr val="accent5"/>
              </a:solidFill>
              <a:ln>
                <a:noFill/>
              </a:ln>
              <a:effectLst/>
            </c:spPr>
            <c:extLst>
              <c:ext xmlns:c16="http://schemas.microsoft.com/office/drawing/2014/chart" uri="{C3380CC4-5D6E-409C-BE32-E72D297353CC}">
                <c16:uniqueId val="{00000019-46A9-42C1-A40C-0E893461C81E}"/>
              </c:ext>
            </c:extLst>
          </c:dPt>
          <c:dPt>
            <c:idx val="5"/>
            <c:bubble3D val="0"/>
            <c:spPr>
              <a:solidFill>
                <a:schemeClr val="accent6"/>
              </a:solidFill>
              <a:ln>
                <a:noFill/>
              </a:ln>
              <a:effectLst/>
            </c:spPr>
            <c:extLst>
              <c:ext xmlns:c16="http://schemas.microsoft.com/office/drawing/2014/chart" uri="{C3380CC4-5D6E-409C-BE32-E72D297353CC}">
                <c16:uniqueId val="{0000000B-69EB-4BEF-8146-D897082847E7}"/>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69EB-4BEF-8146-D897082847E7}"/>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69EB-4BEF-8146-D897082847E7}"/>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69EB-4BEF-8146-D897082847E7}"/>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69EB-4BEF-8146-D897082847E7}"/>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69EB-4BEF-8146-D897082847E7}"/>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69EB-4BEF-8146-D897082847E7}"/>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69EB-4BEF-8146-D897082847E7}"/>
              </c:ext>
            </c:extLst>
          </c:dPt>
          <c:dLbls>
            <c:dLbl>
              <c:idx val="0"/>
              <c:layout>
                <c:manualLayout>
                  <c:x val="-0.15470306928663372"/>
                  <c:y val="0.15499719838390988"/>
                </c:manualLayout>
              </c:layout>
              <c:tx>
                <c:rich>
                  <a:bodyPr/>
                  <a:lstStyle/>
                  <a:p>
                    <a:fld id="{A2718A25-7CED-464B-8ACE-13C4A30AEE2E}" type="CATEGORYNAME">
                      <a:rPr lang="en-US" sz="1400" b="1" i="0" baseline="0"/>
                      <a:pPr/>
                      <a:t>[CATEGORY NAME]</a:t>
                    </a:fld>
                    <a:r>
                      <a:rPr lang="en-US" sz="1400" b="1" i="0" baseline="0"/>
                      <a:t>
</a:t>
                    </a:r>
                    <a:fld id="{DFC1D603-C3A7-48EA-91DA-260F2B48B449}" type="PERCENTAGE">
                      <a:rPr lang="en-US" sz="1400" b="1" i="0" baseline="0"/>
                      <a:pPr/>
                      <a:t>[PERCENTAGE]</a:t>
                    </a:fld>
                    <a:endParaRPr lang="en-US" sz="1400" b="1" i="0"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9EB-4BEF-8146-D897082847E7}"/>
                </c:ext>
              </c:extLst>
            </c:dLbl>
            <c:dLbl>
              <c:idx val="1"/>
              <c:layout>
                <c:manualLayout>
                  <c:x val="-0.14280097190155969"/>
                  <c:y val="-0.16960276032911625"/>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ln>
                        <a:noFill/>
                      </a:ln>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9EB-4BEF-8146-D897082847E7}"/>
                </c:ext>
              </c:extLst>
            </c:dLbl>
            <c:dLbl>
              <c:idx val="2"/>
              <c:layout>
                <c:manualLayout>
                  <c:x val="0.18612318146531298"/>
                  <c:y val="-6.0583915774573123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ln>
                        <a:noFill/>
                      </a:ln>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46A9-42C1-A40C-0E893461C81E}"/>
                </c:ext>
              </c:extLst>
            </c:dLbl>
            <c:dLbl>
              <c:idx val="3"/>
              <c:delete val="1"/>
              <c:extLst>
                <c:ext xmlns:c15="http://schemas.microsoft.com/office/drawing/2012/chart" uri="{CE6537A1-D6FC-4f65-9D91-7224C49458BB}"/>
                <c:ext xmlns:c16="http://schemas.microsoft.com/office/drawing/2014/chart" uri="{C3380CC4-5D6E-409C-BE32-E72D297353CC}">
                  <c16:uniqueId val="{00000017-46A9-42C1-A40C-0E893461C81E}"/>
                </c:ext>
              </c:extLst>
            </c:dLbl>
            <c:dLbl>
              <c:idx val="4"/>
              <c:delete val="1"/>
              <c:extLst>
                <c:ext xmlns:c15="http://schemas.microsoft.com/office/drawing/2012/chart" uri="{CE6537A1-D6FC-4f65-9D91-7224C49458BB}"/>
                <c:ext xmlns:c16="http://schemas.microsoft.com/office/drawing/2014/chart" uri="{C3380CC4-5D6E-409C-BE32-E72D297353CC}">
                  <c16:uniqueId val="{00000019-46A9-42C1-A40C-0E893461C81E}"/>
                </c:ext>
              </c:extLst>
            </c:dLbl>
            <c:dLbl>
              <c:idx val="5"/>
              <c:layout>
                <c:manualLayout>
                  <c:x val="-9.9769391822181003E-2"/>
                  <c:y val="4.1001897234755766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ln>
                        <a:noFill/>
                      </a:ln>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9EB-4BEF-8146-D897082847E7}"/>
                </c:ext>
              </c:extLst>
            </c:dLbl>
            <c:dLbl>
              <c:idx val="6"/>
              <c:layout>
                <c:manualLayout>
                  <c:x val="-0.12143042939094841"/>
                  <c:y val="-2.0726454137053093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ln>
                        <a:noFill/>
                      </a:ln>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69EB-4BEF-8146-D897082847E7}"/>
                </c:ext>
              </c:extLst>
            </c:dLbl>
            <c:dLbl>
              <c:idx val="7"/>
              <c:layout>
                <c:manualLayout>
                  <c:x val="-8.3375173493838245E-2"/>
                  <c:y val="-9.3343949983780122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ln>
                        <a:noFill/>
                      </a:ln>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69EB-4BEF-8146-D897082847E7}"/>
                </c:ext>
              </c:extLst>
            </c:dLbl>
            <c:dLbl>
              <c:idx val="8"/>
              <c:layout>
                <c:manualLayout>
                  <c:x val="0.13999146393512579"/>
                  <c:y val="-7.5865797674167137E-2"/>
                </c:manualLayout>
              </c:layout>
              <c:tx>
                <c:rich>
                  <a:bodyPr rot="0" spcFirstLastPara="1" vertOverflow="ellipsis" vert="horz" wrap="square" lIns="38100" tIns="19050" rIns="38100" bIns="19050" anchor="ctr" anchorCtr="0">
                    <a:spAutoFit/>
                  </a:bodyPr>
                  <a:lstStyle/>
                  <a:p>
                    <a:pPr algn="ctr" rtl="0">
                      <a:defRPr lang="en-US" sz="1400" b="1" i="0" u="none" strike="noStrike" kern="1200" baseline="0">
                        <a:ln>
                          <a:noFill/>
                        </a:ln>
                        <a:solidFill>
                          <a:srgbClr val="000000"/>
                        </a:solidFill>
                        <a:latin typeface="Calibri"/>
                        <a:ea typeface="Calibri"/>
                        <a:cs typeface="Calibri"/>
                      </a:defRPr>
                    </a:pPr>
                    <a:fld id="{C756D6D4-325B-4611-83B5-30D45DA84245}" type="CATEGORYNAME">
                      <a:rPr lang="en-US"/>
                      <a:pPr algn="ctr" rtl="0">
                        <a:defRPr lang="en-US" sz="1400" b="1"/>
                      </a:pPr>
                      <a:t>[CATEGORY NAME]</a:t>
                    </a:fld>
                    <a:r>
                      <a:rPr lang="en-US" baseline="0"/>
                      <a:t>
&gt;1%</a:t>
                    </a:r>
                  </a:p>
                </c:rich>
              </c:tx>
              <c:spPr>
                <a:noFill/>
                <a:ln>
                  <a:noFill/>
                </a:ln>
                <a:effectLst/>
              </c:spPr>
              <c:txPr>
                <a:bodyPr rot="0" spcFirstLastPara="1" vertOverflow="ellipsis" vert="horz" wrap="square" lIns="38100" tIns="19050" rIns="38100" bIns="19050" anchor="ctr" anchorCtr="0">
                  <a:spAutoFit/>
                </a:bodyPr>
                <a:lstStyle/>
                <a:p>
                  <a:pPr algn="ctr" rtl="0">
                    <a:defRPr lang="en-US" sz="1400" b="1" i="0" u="none" strike="noStrike" kern="1200" baseline="0">
                      <a:ln>
                        <a:noFill/>
                      </a:ln>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1-69EB-4BEF-8146-D897082847E7}"/>
                </c:ext>
              </c:extLst>
            </c:dLbl>
            <c:dLbl>
              <c:idx val="9"/>
              <c:layout>
                <c:manualLayout>
                  <c:x val="0.1131602595770279"/>
                  <c:y val="2.3165531274882776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ln>
                        <a:noFill/>
                      </a:ln>
                      <a:solidFill>
                        <a:srgbClr val="000000"/>
                      </a:solidFill>
                      <a:latin typeface="Calibri"/>
                      <a:ea typeface="Calibri"/>
                      <a:cs typeface="Calibri"/>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69EB-4BEF-8146-D897082847E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rgbClr val="000000"/>
                    </a:solidFill>
                    <a:latin typeface="Calibri"/>
                    <a:ea typeface="Calibri"/>
                    <a:cs typeface="Calibri"/>
                  </a:defRPr>
                </a:pPr>
                <a:endParaRPr lang="en-US"/>
              </a:p>
            </c:txPr>
            <c:dLblPos val="outEnd"/>
            <c:showLegendKey val="0"/>
            <c:showVal val="0"/>
            <c:showCatName val="1"/>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'Tons By Miner'!$B$7:$B$16</c:f>
              <c:strCache>
                <c:ptCount val="10"/>
                <c:pt idx="0">
                  <c:v>4R#1: 969500</c:v>
                </c:pt>
                <c:pt idx="1">
                  <c:v>4R#2: 969501</c:v>
                </c:pt>
                <c:pt idx="2">
                  <c:v>4R#3: 969502</c:v>
                </c:pt>
                <c:pt idx="3">
                  <c:v>4R#4: 969503</c:v>
                </c:pt>
                <c:pt idx="4">
                  <c:v>4R#5: 969504</c:v>
                </c:pt>
                <c:pt idx="5">
                  <c:v>DM#1: 968900</c:v>
                </c:pt>
                <c:pt idx="6">
                  <c:v>DM#2: 968901</c:v>
                </c:pt>
                <c:pt idx="7">
                  <c:v>DM#3: 968903</c:v>
                </c:pt>
                <c:pt idx="8">
                  <c:v>DM#4: 968904</c:v>
                </c:pt>
                <c:pt idx="9">
                  <c:v>Other</c:v>
                </c:pt>
              </c:strCache>
            </c:strRef>
          </c:cat>
          <c:val>
            <c:numRef>
              <c:f>'Tons By Miner'!$C$7:$C$16</c:f>
              <c:numCache>
                <c:formatCode>#,##0</c:formatCode>
                <c:ptCount val="10"/>
                <c:pt idx="0">
                  <c:v>0</c:v>
                </c:pt>
                <c:pt idx="1">
                  <c:v>0</c:v>
                </c:pt>
                <c:pt idx="2">
                  <c:v>0</c:v>
                </c:pt>
                <c:pt idx="3">
                  <c:v>0</c:v>
                </c:pt>
                <c:pt idx="4">
                  <c:v>0</c:v>
                </c:pt>
                <c:pt idx="5">
                  <c:v>3430.3708609271521</c:v>
                </c:pt>
                <c:pt idx="6">
                  <c:v>0</c:v>
                </c:pt>
                <c:pt idx="7">
                  <c:v>0</c:v>
                </c:pt>
                <c:pt idx="8">
                  <c:v>0</c:v>
                </c:pt>
                <c:pt idx="9">
                  <c:v>0</c:v>
                </c:pt>
              </c:numCache>
            </c:numRef>
          </c:val>
          <c:extLst>
            <c:ext xmlns:c16="http://schemas.microsoft.com/office/drawing/2014/chart" uri="{C3380CC4-5D6E-409C-BE32-E72D297353CC}">
              <c16:uniqueId val="{0000001A-69EB-4BEF-8146-D897082847E7}"/>
            </c:ext>
          </c:extLst>
        </c:ser>
        <c:dLbls>
          <c:dLblPos val="outEnd"/>
          <c:showLegendKey val="0"/>
          <c:showVal val="1"/>
          <c:showCatName val="0"/>
          <c:showSerName val="0"/>
          <c:showPercent val="0"/>
          <c:showBubbleSize val="0"/>
          <c:showLeaderLines val="1"/>
        </c:dLbls>
        <c:firstSliceAng val="0"/>
      </c:pieChart>
      <c:spPr>
        <a:noFill/>
        <a:ln w="25400">
          <a:noFill/>
        </a:ln>
        <a:effectLst/>
      </c:spPr>
    </c:plotArea>
    <c:legend>
      <c:legendPos val="r"/>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1400" b="1" i="0" u="none" strike="noStrike" kern="1200" baseline="0">
              <a:ln>
                <a:noFill/>
              </a:ln>
              <a:solidFill>
                <a:srgbClr val="000000"/>
              </a:solidFill>
              <a:latin typeface="Calibri"/>
              <a:ea typeface="Calibri"/>
              <a:cs typeface="Calibri"/>
            </a:defRPr>
          </a:pPr>
          <a:endParaRPr lang="en-US"/>
        </a:p>
      </c:txPr>
    </c:legend>
    <c:plotVisOnly val="1"/>
    <c:dispBlanksAs val="gap"/>
    <c:showDLblsOverMax val="0"/>
  </c:chart>
  <c:spPr>
    <a:solidFill>
      <a:schemeClr val="bg1"/>
    </a:solidFill>
    <a:ln w="6350" cap="flat" cmpd="sng" algn="ctr">
      <a:solidFill>
        <a:schemeClr val="tx1">
          <a:tint val="75000"/>
        </a:schemeClr>
      </a:solidFill>
      <a:prstDash val="solid"/>
      <a:round/>
    </a:ln>
    <a:effectLst/>
  </c:spPr>
  <c:txPr>
    <a:bodyPr/>
    <a:lstStyle/>
    <a:p>
      <a:pPr>
        <a:defRPr sz="1000" b="0" i="0" u="none" strike="noStrike" baseline="0">
          <a:ln>
            <a:noFill/>
          </a:ln>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Actual Monthly Production / Development %</a:t>
            </a:r>
          </a:p>
        </c:rich>
      </c:tx>
      <c:layout>
        <c:manualLayout>
          <c:xMode val="edge"/>
          <c:yMode val="edge"/>
          <c:x val="0.21405042016806722"/>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view3D>
      <c:rotX val="30"/>
      <c:rotY val="0"/>
      <c:depthPercent val="10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5087749166489331E-2"/>
          <c:y val="0.21552261235735196"/>
          <c:w val="0.90353139245752179"/>
          <c:h val="0.68554963981839789"/>
        </c:manualLayout>
      </c:layout>
      <c:pie3DChart>
        <c:varyColors val="1"/>
        <c:ser>
          <c:idx val="1"/>
          <c:order val="0"/>
          <c:tx>
            <c:v>Monthly Tons</c:v>
          </c:tx>
          <c:spPr>
            <a:solidFill>
              <a:schemeClr val="accent4"/>
            </a:solidFill>
            <a:ln>
              <a:solidFill>
                <a:schemeClr val="accent4"/>
              </a:solidFill>
            </a:ln>
          </c:spPr>
          <c:dPt>
            <c:idx val="0"/>
            <c:bubble3D val="0"/>
            <c:spPr>
              <a:solidFill>
                <a:schemeClr val="accent3"/>
              </a:solidFill>
              <a:ln>
                <a:solidFill>
                  <a:schemeClr val="accent3"/>
                </a:solidFill>
              </a:ln>
              <a:effectLst/>
              <a:sp3d contourW="25400">
                <a:contourClr>
                  <a:schemeClr val="accent3"/>
                </a:contourClr>
              </a:sp3d>
            </c:spPr>
            <c:extLst>
              <c:ext xmlns:c16="http://schemas.microsoft.com/office/drawing/2014/chart" uri="{C3380CC4-5D6E-409C-BE32-E72D297353CC}">
                <c16:uniqueId val="{00000001-AC6D-4240-A014-46271B77F77C}"/>
              </c:ext>
            </c:extLst>
          </c:dPt>
          <c:dPt>
            <c:idx val="1"/>
            <c:bubble3D val="0"/>
            <c:spPr>
              <a:solidFill>
                <a:schemeClr val="accent4"/>
              </a:solidFill>
              <a:ln>
                <a:solidFill>
                  <a:schemeClr val="accent4"/>
                </a:solidFill>
              </a:ln>
              <a:effectLst/>
              <a:sp3d>
                <a:contourClr>
                  <a:schemeClr val="accent4"/>
                </a:contourClr>
              </a:sp3d>
            </c:spPr>
            <c:extLst>
              <c:ext xmlns:c16="http://schemas.microsoft.com/office/drawing/2014/chart" uri="{C3380CC4-5D6E-409C-BE32-E72D297353CC}">
                <c16:uniqueId val="{00000003-AC6D-4240-A014-46271B77F77C}"/>
              </c:ext>
            </c:extLst>
          </c:dPt>
          <c:dLbls>
            <c:dLbl>
              <c:idx val="0"/>
              <c:layout>
                <c:manualLayout>
                  <c:x val="0.37198791327554642"/>
                  <c:y val="2.9115496365423432E-2"/>
                </c:manualLayout>
              </c:layout>
              <c:spPr>
                <a:solidFill>
                  <a:srgbClr val="FFFF00"/>
                </a:solidFill>
                <a:ln w="25400">
                  <a:solidFill>
                    <a:schemeClr val="tx1"/>
                  </a:solid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AC6D-4240-A014-46271B77F77C}"/>
                </c:ext>
              </c:extLst>
            </c:dLbl>
            <c:dLbl>
              <c:idx val="1"/>
              <c:layout>
                <c:manualLayout>
                  <c:x val="7.8330796885683826E-3"/>
                  <c:y val="-8.1194387738569768E-2"/>
                </c:manualLayout>
              </c:layout>
              <c:spPr>
                <a:solidFill>
                  <a:srgbClr val="FFFF00"/>
                </a:solidFill>
                <a:ln w="25400">
                  <a:solidFill>
                    <a:schemeClr val="tx1"/>
                  </a:solid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5590390390390388"/>
                      <c:h val="0.12154070828769624"/>
                    </c:manualLayout>
                  </c15:layout>
                </c:ext>
                <c:ext xmlns:c16="http://schemas.microsoft.com/office/drawing/2014/chart" uri="{C3380CC4-5D6E-409C-BE32-E72D297353CC}">
                  <c16:uniqueId val="{00000003-AC6D-4240-A014-46271B77F77C}"/>
                </c:ext>
              </c:extLst>
            </c:dLbl>
            <c:spPr>
              <a:solidFill>
                <a:srgbClr val="FFFF00"/>
              </a:solidFill>
              <a:ln w="25400">
                <a:solidFill>
                  <a:schemeClr val="tx1"/>
                </a:solid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extLst>
          </c:dLbls>
          <c:cat>
            <c:strRef>
              <c:extLst>
                <c:ext xmlns:c15="http://schemas.microsoft.com/office/drawing/2012/chart" uri="{02D57815-91ED-43cb-92C2-25804820EDAC}">
                  <c15:fullRef>
                    <c15:sqref>Production_Development!$D$5:$F$5</c15:sqref>
                  </c15:fullRef>
                </c:ext>
              </c:extLst>
              <c:f>(Production_Development!$D$5,Production_Development!$F$5)</c:f>
              <c:strCache>
                <c:ptCount val="2"/>
                <c:pt idx="0">
                  <c:v>Production Tons</c:v>
                </c:pt>
                <c:pt idx="1">
                  <c:v>Development Tons</c:v>
                </c:pt>
              </c:strCache>
            </c:strRef>
          </c:cat>
          <c:val>
            <c:numRef>
              <c:extLst>
                <c:ext xmlns:c15="http://schemas.microsoft.com/office/drawing/2012/chart" uri="{02D57815-91ED-43cb-92C2-25804820EDAC}">
                  <c15:fullRef>
                    <c15:sqref>Production_Development!$D$16:$F$16</c15:sqref>
                  </c15:fullRef>
                </c:ext>
              </c:extLst>
              <c:f>(Production_Development!$D$16,Production_Development!$F$16)</c:f>
              <c:numCache>
                <c:formatCode>#,##0</c:formatCode>
                <c:ptCount val="2"/>
                <c:pt idx="0">
                  <c:v>0</c:v>
                </c:pt>
                <c:pt idx="1">
                  <c:v>0</c:v>
                </c:pt>
              </c:numCache>
            </c:numRef>
          </c:val>
          <c:extLst>
            <c:ext xmlns:c15="http://schemas.microsoft.com/office/drawing/2012/chart" uri="{02D57815-91ED-43cb-92C2-25804820EDAC}">
              <c15:categoryFilterExceptions>
                <c15:categoryFilterException>
                  <c15:sqref>Production_Development!$E$16</c15:sqref>
                  <c15:spPr xmlns:c15="http://schemas.microsoft.com/office/drawing/2012/chart">
                    <a:solidFill>
                      <a:schemeClr val="accent4"/>
                    </a:solidFill>
                    <a:ln>
                      <a:solidFill>
                        <a:schemeClr val="accent4"/>
                      </a:solidFill>
                    </a:ln>
                    <a:effectLst/>
                    <a:sp3d contourW="25400">
                      <a:contourClr>
                        <a:schemeClr val="accent4"/>
                      </a:contourClr>
                    </a:sp3d>
                  </c15:spPr>
                  <c15:bubble3D val="0"/>
                  <c15:dLbl>
                    <c:idx val="0"/>
                    <c:spPr>
                      <a:solidFill>
                        <a:srgbClr val="FFFF00"/>
                      </a:solidFill>
                      <a:ln w="25400">
                        <a:solidFill>
                          <a:schemeClr val="tx1"/>
                        </a:solid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solidFill>
                            <a:latin typeface="+mn-lt"/>
                            <a:ea typeface="+mn-ea"/>
                            <a:cs typeface="+mn-cs"/>
                          </a:defRPr>
                        </a:pPr>
                        <a:endParaRPr lang="en-US"/>
                      </a:p>
                    </c:txPr>
                    <c:dLblPos val="ctr"/>
                    <c:showLegendKey val="0"/>
                    <c:showVal val="0"/>
                    <c:showCatName val="1"/>
                    <c:showSerName val="0"/>
                    <c:showPercent val="1"/>
                    <c:showBubbleSize val="0"/>
                    <c:extLst>
                      <c:ext xmlns:c16="http://schemas.microsoft.com/office/drawing/2014/chart" uri="{C3380CC4-5D6E-409C-BE32-E72D297353CC}">
                        <c16:uniqueId val="{00000005-1246-4CC2-BCC6-2016B8A7E8E8}"/>
                      </c:ext>
                    </c:extLst>
                  </c15:dLbl>
                </c15:categoryFilterException>
              </c15:categoryFilterExceptions>
            </c:ext>
            <c:ext xmlns:c16="http://schemas.microsoft.com/office/drawing/2014/chart" uri="{C3380CC4-5D6E-409C-BE32-E72D297353CC}">
              <c16:uniqueId val="{00000004-AC6D-4240-A014-46271B77F77C}"/>
            </c:ext>
          </c:extLst>
        </c:ser>
        <c:dLbls>
          <c:showLegendKey val="0"/>
          <c:showVal val="0"/>
          <c:showCatName val="0"/>
          <c:showSerName val="0"/>
          <c:showPercent val="0"/>
          <c:showBubbleSize val="0"/>
          <c:showLeaderLines val="0"/>
        </c:dLbls>
        <c:extLst/>
      </c:pie3DChart>
      <c:spPr>
        <a:noFill/>
        <a:ln>
          <a:noFill/>
        </a:ln>
        <a:effectLst/>
      </c:spPr>
    </c:plotArea>
    <c:legend>
      <c:legendPos val="b"/>
      <c:layout>
        <c:manualLayout>
          <c:xMode val="edge"/>
          <c:yMode val="edge"/>
          <c:x val="0.16869972334539263"/>
          <c:y val="0.88776553278752679"/>
          <c:w val="0.62700054385093762"/>
          <c:h val="9.5667204124335353E-2"/>
        </c:manualLayout>
      </c:layout>
      <c:overlay val="0"/>
      <c:spPr>
        <a:noFill/>
        <a:ln>
          <a:noFill/>
        </a:ln>
        <a:effectLst/>
      </c:spPr>
      <c:txPr>
        <a:bodyPr rot="0" spcFirstLastPara="1" vertOverflow="ellipsis" vert="horz" wrap="square" anchor="ctr" anchorCtr="1"/>
        <a:lstStyle/>
        <a:p>
          <a:pPr rtl="0">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16749295226983"/>
          <c:y val="0.17041316855260641"/>
          <c:w val="0.65874234470691162"/>
          <c:h val="0.6282046201178495"/>
        </c:manualLayout>
      </c:layout>
      <c:pieChart>
        <c:varyColors val="1"/>
        <c:ser>
          <c:idx val="0"/>
          <c:order val="0"/>
          <c:tx>
            <c:strRef>
              <c:f>'Royalty Calcs'!$A$15:$D$15</c:f>
              <c:strCache>
                <c:ptCount val="1"/>
                <c:pt idx="0">
                  <c:v>Tonnage % By Unit</c:v>
                </c:pt>
              </c:strCache>
            </c:strRef>
          </c:tx>
          <c:dPt>
            <c:idx val="0"/>
            <c:bubble3D val="0"/>
            <c:spPr>
              <a:solidFill>
                <a:schemeClr val="accent1"/>
              </a:solidFill>
              <a:ln>
                <a:noFill/>
              </a:ln>
              <a:effectLst/>
            </c:spPr>
            <c:extLst>
              <c:ext xmlns:c16="http://schemas.microsoft.com/office/drawing/2014/chart" uri="{C3380CC4-5D6E-409C-BE32-E72D297353CC}">
                <c16:uniqueId val="{00000001-8658-4DF4-9BFC-F750797EB843}"/>
              </c:ext>
            </c:extLst>
          </c:dPt>
          <c:dPt>
            <c:idx val="1"/>
            <c:bubble3D val="0"/>
            <c:spPr>
              <a:solidFill>
                <a:schemeClr val="accent2"/>
              </a:solidFill>
              <a:ln>
                <a:noFill/>
              </a:ln>
              <a:effectLst/>
            </c:spPr>
            <c:extLst>
              <c:ext xmlns:c16="http://schemas.microsoft.com/office/drawing/2014/chart" uri="{C3380CC4-5D6E-409C-BE32-E72D297353CC}">
                <c16:uniqueId val="{00000003-8658-4DF4-9BFC-F750797EB843}"/>
              </c:ext>
            </c:extLst>
          </c:dPt>
          <c:dPt>
            <c:idx val="2"/>
            <c:bubble3D val="0"/>
            <c:spPr>
              <a:solidFill>
                <a:schemeClr val="accent3"/>
              </a:solidFill>
              <a:ln>
                <a:noFill/>
              </a:ln>
              <a:effectLst/>
            </c:spPr>
            <c:extLst>
              <c:ext xmlns:c16="http://schemas.microsoft.com/office/drawing/2014/chart" uri="{C3380CC4-5D6E-409C-BE32-E72D297353CC}">
                <c16:uniqueId val="{00000005-8658-4DF4-9BFC-F750797EB843}"/>
              </c:ext>
            </c:extLst>
          </c:dPt>
          <c:dPt>
            <c:idx val="3"/>
            <c:bubble3D val="0"/>
            <c:spPr>
              <a:solidFill>
                <a:schemeClr val="accent4"/>
              </a:solidFill>
              <a:ln>
                <a:noFill/>
              </a:ln>
              <a:effectLst/>
            </c:spPr>
            <c:extLst>
              <c:ext xmlns:c16="http://schemas.microsoft.com/office/drawing/2014/chart" uri="{C3380CC4-5D6E-409C-BE32-E72D297353CC}">
                <c16:uniqueId val="{00000007-8658-4DF4-9BFC-F750797EB843}"/>
              </c:ext>
            </c:extLst>
          </c:dPt>
          <c:dPt>
            <c:idx val="4"/>
            <c:bubble3D val="0"/>
            <c:spPr>
              <a:solidFill>
                <a:schemeClr val="accent5"/>
              </a:solidFill>
              <a:ln>
                <a:noFill/>
              </a:ln>
              <a:effectLst/>
            </c:spPr>
            <c:extLst>
              <c:ext xmlns:c16="http://schemas.microsoft.com/office/drawing/2014/chart" uri="{C3380CC4-5D6E-409C-BE32-E72D297353CC}">
                <c16:uniqueId val="{00000009-8658-4DF4-9BFC-F750797EB843}"/>
              </c:ext>
            </c:extLst>
          </c:dPt>
          <c:dPt>
            <c:idx val="5"/>
            <c:bubble3D val="0"/>
            <c:spPr>
              <a:solidFill>
                <a:schemeClr val="accent6"/>
              </a:solidFill>
              <a:ln>
                <a:noFill/>
              </a:ln>
              <a:effectLst/>
            </c:spPr>
            <c:extLst>
              <c:ext xmlns:c16="http://schemas.microsoft.com/office/drawing/2014/chart" uri="{C3380CC4-5D6E-409C-BE32-E72D297353CC}">
                <c16:uniqueId val="{0000000B-8658-4DF4-9BFC-F750797EB843}"/>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8658-4DF4-9BFC-F750797EB843}"/>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8658-4DF4-9BFC-F750797EB843}"/>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8658-4DF4-9BFC-F750797EB843}"/>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8658-4DF4-9BFC-F750797EB843}"/>
              </c:ext>
            </c:extLst>
          </c:dPt>
          <c:dLbls>
            <c:dLbl>
              <c:idx val="0"/>
              <c:layout>
                <c:manualLayout>
                  <c:x val="-2.9432779235929406E-3"/>
                  <c:y val="-0.41549182180042071"/>
                </c:manualLayout>
              </c:layout>
              <c:numFmt formatCode="General" sourceLinked="0"/>
              <c:spPr>
                <a:noFill/>
                <a:ln>
                  <a:noFill/>
                </a:ln>
                <a:effectLst/>
              </c:spPr>
              <c:txPr>
                <a:bodyPr rot="0" spcFirstLastPara="1" vertOverflow="overflow" horzOverflow="overflow" vert="horz" wrap="square" lIns="38100" tIns="19050" rIns="38100" bIns="19050" anchor="ctr" anchorCtr="1">
                  <a:noAutofit/>
                </a:bodyPr>
                <a:lstStyle/>
                <a:p>
                  <a:pPr>
                    <a:defRPr sz="1200" b="0" i="0" u="none" strike="noStrike" kern="1200" baseline="0">
                      <a:solidFill>
                        <a:srgbClr val="000000"/>
                      </a:solidFill>
                      <a:latin typeface="Calibri"/>
                      <a:ea typeface="Calibri"/>
                      <a:cs typeface="Calibri"/>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EllipseCallout">
                      <a:avLst/>
                    </a:prstGeom>
                    <a:noFill/>
                    <a:ln>
                      <a:noFill/>
                    </a:ln>
                  </c15:spPr>
                  <c15:layout>
                    <c:manualLayout>
                      <c:w val="0.46426436278798483"/>
                      <c:h val="0.1985788531400462"/>
                    </c:manualLayout>
                  </c15:layout>
                </c:ext>
                <c:ext xmlns:c16="http://schemas.microsoft.com/office/drawing/2014/chart" uri="{C3380CC4-5D6E-409C-BE32-E72D297353CC}">
                  <c16:uniqueId val="{00000001-8658-4DF4-9BFC-F750797EB843}"/>
                </c:ext>
              </c:extLst>
            </c:dLbl>
            <c:dLbl>
              <c:idx val="1"/>
              <c:layout>
                <c:manualLayout>
                  <c:x val="1.5959463400408282E-3"/>
                  <c:y val="-0.38409715341873657"/>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8658-4DF4-9BFC-F750797EB843}"/>
                </c:ext>
              </c:extLst>
            </c:dLbl>
            <c:dLbl>
              <c:idx val="6"/>
              <c:layout>
                <c:manualLayout>
                  <c:x val="-0.12867462866781587"/>
                  <c:y val="-2.1806853582554516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8658-4DF4-9BFC-F750797EB843}"/>
                </c:ext>
              </c:extLst>
            </c:dLbl>
            <c:dLbl>
              <c:idx val="7"/>
              <c:layout>
                <c:manualLayout>
                  <c:x val="-1.9966725617710748E-2"/>
                  <c:y val="1.2461059190031152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F-8658-4DF4-9BFC-F750797EB843}"/>
                </c:ext>
              </c:extLst>
            </c:dLbl>
            <c:dLbl>
              <c:idx val="8"/>
              <c:layout>
                <c:manualLayout>
                  <c:x val="-0.14864117959851333"/>
                  <c:y val="-7.476635514018691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1-8658-4DF4-9BFC-F750797EB843}"/>
                </c:ext>
              </c:extLst>
            </c:dLbl>
            <c:dLbl>
              <c:idx val="12"/>
              <c:layout>
                <c:manualLayout>
                  <c:x val="2.4403775754979803E-2"/>
                  <c:y val="-6.2305295950155761E-3"/>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4-8658-4DF4-9BFC-F750797EB843}"/>
                </c:ext>
              </c:extLst>
            </c:dLbl>
            <c:numFmt formatCode="General" sourceLinked="0"/>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rgbClr val="000000"/>
                    </a:solidFill>
                    <a:latin typeface="Calibri"/>
                    <a:ea typeface="Calibri"/>
                    <a:cs typeface="Calibri"/>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EllipseCallout">
                    <a:avLst/>
                  </a:prstGeom>
                  <a:noFill/>
                  <a:ln>
                    <a:noFill/>
                  </a:ln>
                </c15:spPr>
              </c:ext>
            </c:extLst>
          </c:dLbls>
          <c:cat>
            <c:strRef>
              <c:f>'Royalty Calcs'!$B$8:$B$9</c:f>
              <c:strCache>
                <c:ptCount val="2"/>
                <c:pt idx="0">
                  <c:v>Unit 3 (Sent to K1)</c:v>
                </c:pt>
                <c:pt idx="1">
                  <c:v>Unit 3 (Sent to K2)</c:v>
                </c:pt>
              </c:strCache>
            </c:strRef>
          </c:cat>
          <c:val>
            <c:numRef>
              <c:f>'Royalty Calcs'!$C$8:$C$9</c:f>
              <c:numCache>
                <c:formatCode>#,##0</c:formatCode>
                <c:ptCount val="2"/>
                <c:pt idx="0">
                  <c:v>0</c:v>
                </c:pt>
                <c:pt idx="1">
                  <c:v>0</c:v>
                </c:pt>
              </c:numCache>
            </c:numRef>
          </c:val>
          <c:extLst>
            <c:ext xmlns:c16="http://schemas.microsoft.com/office/drawing/2014/chart" uri="{C3380CC4-5D6E-409C-BE32-E72D297353CC}">
              <c16:uniqueId val="{00000015-8658-4DF4-9BFC-F750797EB843}"/>
            </c:ext>
          </c:extLst>
        </c:ser>
        <c:dLbls>
          <c:showLegendKey val="0"/>
          <c:showVal val="0"/>
          <c:showCatName val="0"/>
          <c:showSerName val="0"/>
          <c:showPercent val="0"/>
          <c:showBubbleSize val="0"/>
          <c:showLeaderLines val="0"/>
        </c:dLbls>
        <c:firstSliceAng val="0"/>
      </c:pieChart>
      <c:spPr>
        <a:noFill/>
        <a:ln w="25400">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6350" cap="flat" cmpd="sng" algn="ctr">
      <a:solidFill>
        <a:schemeClr val="tx1">
          <a:tint val="75000"/>
        </a:schemeClr>
      </a:solidFill>
      <a:prstDash val="solid"/>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2020 Planned Production Tons</c:v>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'T 90'!$D$3:$O$3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 90'!$D$38:$O$38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E91-475F-85F5-C558CE3EA433}"/>
            </c:ext>
          </c:extLst>
        </c:ser>
        <c:ser>
          <c:idx val="1"/>
          <c:order val="1"/>
          <c:tx>
            <c:v>2020 Actual Production Tons</c:v>
          </c:tx>
          <c:spPr>
            <a:ln w="34925" cap="rnd">
              <a:solidFill>
                <a:schemeClr val="accent3"/>
              </a:solidFill>
              <a:round/>
            </a:ln>
            <a:effectLst>
              <a:outerShdw blurRad="57150" dist="19050" dir="5400000" algn="ctr" rotWithShape="0">
                <a:srgbClr val="000000">
                  <a:alpha val="63000"/>
                </a:srgbClr>
              </a:outerShdw>
            </a:effectLst>
          </c:spPr>
          <c:marker>
            <c:symbol val="circle"/>
            <c:size val="6"/>
            <c:spPr>
              <a:solidFill>
                <a:schemeClr val="accent3"/>
              </a:solidFill>
              <a:ln w="9525">
                <a:solidFill>
                  <a:schemeClr val="accent3"/>
                </a:solidFill>
                <a:round/>
              </a:ln>
              <a:effectLst>
                <a:outerShdw blurRad="57150" dist="19050" dir="5400000" algn="ctr" rotWithShape="0">
                  <a:srgbClr val="000000">
                    <a:alpha val="63000"/>
                  </a:srgbClr>
                </a:outerShdw>
              </a:effectLst>
            </c:spPr>
          </c:marker>
          <c:cat>
            <c:strRef>
              <c:f>'T 90'!$D$3:$O$3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 90'!$D$39:$O$39</c:f>
              <c:numCache>
                <c:formatCode>General</c:formatCode>
                <c:ptCount val="12"/>
                <c:pt idx="0">
                  <c:v>0</c:v>
                </c:pt>
                <c:pt idx="1">
                  <c:v>0</c:v>
                </c:pt>
                <c:pt idx="2">
                  <c:v>0</c:v>
                </c:pt>
                <c:pt idx="3">
                  <c:v>0</c:v>
                </c:pt>
                <c:pt idx="4">
                  <c:v>0</c:v>
                </c:pt>
                <c:pt idx="5">
                  <c:v>0</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1-2E91-475F-85F5-C558CE3EA433}"/>
            </c:ext>
          </c:extLst>
        </c:ser>
        <c:dLbls>
          <c:showLegendKey val="0"/>
          <c:showVal val="0"/>
          <c:showCatName val="0"/>
          <c:showSerName val="0"/>
          <c:showPercent val="0"/>
          <c:showBubbleSize val="0"/>
        </c:dLbls>
        <c:smooth val="0"/>
        <c:axId val="124219392"/>
        <c:axId val="124221312"/>
      </c:lineChart>
      <c:catAx>
        <c:axId val="1242193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4221312"/>
        <c:crosses val="autoZero"/>
        <c:auto val="0"/>
        <c:lblAlgn val="ctr"/>
        <c:lblOffset val="100"/>
        <c:tickLblSkip val="1"/>
        <c:noMultiLvlLbl val="0"/>
      </c:catAx>
      <c:valAx>
        <c:axId val="124221312"/>
        <c:scaling>
          <c:orientation val="minMax"/>
          <c:max val="1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b="1"/>
                  <a:t>Cumulative Tons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421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2020 Planned Development Tons</c:v>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'T 90'!$D$3:$O$3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 90'!$D$40:$O$40</c:f>
              <c:numCache>
                <c:formatCode>General</c:formatCode>
                <c:ptCount val="12"/>
                <c:pt idx="0">
                  <c:v>312851</c:v>
                </c:pt>
                <c:pt idx="1">
                  <c:v>618489</c:v>
                </c:pt>
                <c:pt idx="2">
                  <c:v>980241</c:v>
                </c:pt>
                <c:pt idx="3">
                  <c:v>1332767</c:v>
                </c:pt>
                <c:pt idx="4">
                  <c:v>1663885</c:v>
                </c:pt>
                <c:pt idx="5">
                  <c:v>2045860</c:v>
                </c:pt>
                <c:pt idx="6">
                  <c:v>2484788</c:v>
                </c:pt>
                <c:pt idx="7">
                  <c:v>2690667</c:v>
                </c:pt>
                <c:pt idx="8">
                  <c:v>3166301</c:v>
                </c:pt>
                <c:pt idx="9">
                  <c:v>3833439</c:v>
                </c:pt>
                <c:pt idx="10">
                  <c:v>4476951</c:v>
                </c:pt>
                <c:pt idx="11">
                  <c:v>5107395</c:v>
                </c:pt>
              </c:numCache>
            </c:numRef>
          </c:val>
          <c:smooth val="0"/>
          <c:extLst>
            <c:ext xmlns:c16="http://schemas.microsoft.com/office/drawing/2014/chart" uri="{C3380CC4-5D6E-409C-BE32-E72D297353CC}">
              <c16:uniqueId val="{00000000-06A1-4063-ABE3-FE4C5E2ECE10}"/>
            </c:ext>
          </c:extLst>
        </c:ser>
        <c:ser>
          <c:idx val="1"/>
          <c:order val="1"/>
          <c:tx>
            <c:v>2020 Actual Development Tons</c:v>
          </c:tx>
          <c:spPr>
            <a:ln w="34925" cap="rnd">
              <a:solidFill>
                <a:schemeClr val="accent4"/>
              </a:solidFill>
              <a:round/>
            </a:ln>
            <a:effectLst>
              <a:outerShdw blurRad="57150" dist="19050" dir="5400000" algn="ctr" rotWithShape="0">
                <a:srgbClr val="000000">
                  <a:alpha val="63000"/>
                </a:srgbClr>
              </a:outerShdw>
            </a:effectLst>
          </c:spPr>
          <c:marker>
            <c:symbol val="circle"/>
            <c:size val="6"/>
            <c:spPr>
              <a:solidFill>
                <a:schemeClr val="accent4"/>
              </a:solidFill>
              <a:ln w="9525">
                <a:solidFill>
                  <a:schemeClr val="accent4"/>
                </a:solidFill>
                <a:round/>
              </a:ln>
              <a:effectLst>
                <a:outerShdw blurRad="57150" dist="19050" dir="5400000" algn="ctr" rotWithShape="0">
                  <a:srgbClr val="000000">
                    <a:alpha val="63000"/>
                  </a:srgbClr>
                </a:outerShdw>
              </a:effectLst>
            </c:spPr>
          </c:marker>
          <c:cat>
            <c:strRef>
              <c:f>'T 90'!$D$3:$O$3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 90'!$D$41:$O$41</c:f>
              <c:numCache>
                <c:formatCode>General</c:formatCode>
                <c:ptCount val="12"/>
                <c:pt idx="0">
                  <c:v>273532</c:v>
                </c:pt>
                <c:pt idx="1">
                  <c:v>590425</c:v>
                </c:pt>
                <c:pt idx="2">
                  <c:v>936823</c:v>
                </c:pt>
                <c:pt idx="3">
                  <c:v>1271274</c:v>
                </c:pt>
                <c:pt idx="4">
                  <c:v>1599513</c:v>
                </c:pt>
                <c:pt idx="5">
                  <c:v>1927657</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1-06A1-4063-ABE3-FE4C5E2ECE10}"/>
            </c:ext>
          </c:extLst>
        </c:ser>
        <c:dLbls>
          <c:showLegendKey val="0"/>
          <c:showVal val="0"/>
          <c:showCatName val="0"/>
          <c:showSerName val="0"/>
          <c:showPercent val="0"/>
          <c:showBubbleSize val="0"/>
        </c:dLbls>
        <c:smooth val="0"/>
        <c:axId val="124238848"/>
        <c:axId val="125322368"/>
      </c:lineChart>
      <c:catAx>
        <c:axId val="1242388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322368"/>
        <c:crosses val="autoZero"/>
        <c:auto val="0"/>
        <c:lblAlgn val="ctr"/>
        <c:lblOffset val="100"/>
        <c:tickLblSkip val="1"/>
        <c:noMultiLvlLbl val="0"/>
      </c:catAx>
      <c:valAx>
        <c:axId val="125322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b="1"/>
                  <a:t>Cumulative</a:t>
                </a:r>
                <a:r>
                  <a:rPr lang="en-US" b="1" baseline="0"/>
                  <a:t> T</a:t>
                </a:r>
                <a:r>
                  <a:rPr lang="en-US" b="1"/>
                  <a:t>ons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423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4">
        <a:lumMod val="20000"/>
        <a:lumOff val="80000"/>
      </a:schemeClr>
    </a:solidFill>
    <a:ln w="9525" cap="flat" cmpd="sng" algn="ctr">
      <a:solidFill>
        <a:schemeClr val="accent4">
          <a:lumMod val="20000"/>
          <a:lumOff val="80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17930</xdr:rowOff>
    </xdr:from>
    <xdr:to>
      <xdr:col>3</xdr:col>
      <xdr:colOff>51200</xdr:colOff>
      <xdr:row>5</xdr:row>
      <xdr:rowOff>89648</xdr:rowOff>
    </xdr:to>
    <xdr:pic>
      <xdr:nvPicPr>
        <xdr:cNvPr id="2" name="Picture 6" descr="mosaic_blk_rgb_med_tm">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7930"/>
          <a:ext cx="188000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51200</xdr:colOff>
      <xdr:row>5</xdr:row>
      <xdr:rowOff>18378</xdr:rowOff>
    </xdr:to>
    <xdr:pic>
      <xdr:nvPicPr>
        <xdr:cNvPr id="2" name="Picture 6" descr="mosaic_blk_rgb_med_tm">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880000" cy="9327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17930</xdr:rowOff>
    </xdr:from>
    <xdr:to>
      <xdr:col>3</xdr:col>
      <xdr:colOff>51200</xdr:colOff>
      <xdr:row>5</xdr:row>
      <xdr:rowOff>89648</xdr:rowOff>
    </xdr:to>
    <xdr:pic>
      <xdr:nvPicPr>
        <xdr:cNvPr id="3" name="Picture 6" descr="mosaic_blk_rgb_med_tm">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7930"/>
          <a:ext cx="1880000" cy="9327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150495</xdr:colOff>
      <xdr:row>27</xdr:row>
      <xdr:rowOff>163830</xdr:rowOff>
    </xdr:from>
    <xdr:to>
      <xdr:col>8</xdr:col>
      <xdr:colOff>140970</xdr:colOff>
      <xdr:row>55</xdr:row>
      <xdr:rowOff>125730</xdr:rowOff>
    </xdr:to>
    <xdr:graphicFrame macro="">
      <xdr:nvGraphicFramePr>
        <xdr:cNvPr id="2" name="Chart 4">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160021</xdr:colOff>
      <xdr:row>20</xdr:row>
      <xdr:rowOff>110490</xdr:rowOff>
    </xdr:from>
    <xdr:to>
      <xdr:col>8</xdr:col>
      <xdr:colOff>560071</xdr:colOff>
      <xdr:row>44</xdr:row>
      <xdr:rowOff>160020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971551</xdr:colOff>
      <xdr:row>16</xdr:row>
      <xdr:rowOff>9525</xdr:rowOff>
    </xdr:from>
    <xdr:to>
      <xdr:col>3</xdr:col>
      <xdr:colOff>95251</xdr:colOff>
      <xdr:row>38</xdr:row>
      <xdr:rowOff>133350</xdr:rowOff>
    </xdr:to>
    <xdr:graphicFrame macro="">
      <xdr:nvGraphicFramePr>
        <xdr:cNvPr id="7" name="Chart 4">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6.xml><?xml version="1.0" encoding="utf-8"?>
<xdr:wsDr xmlns:xdr="http://schemas.openxmlformats.org/drawingml/2006/spreadsheetDrawing" xmlns:a="http://schemas.openxmlformats.org/drawingml/2006/main">
  <xdr:twoCellAnchor>
    <xdr:from>
      <xdr:col>0</xdr:col>
      <xdr:colOff>45720</xdr:colOff>
      <xdr:row>4</xdr:row>
      <xdr:rowOff>30480</xdr:rowOff>
    </xdr:from>
    <xdr:to>
      <xdr:col>12</xdr:col>
      <xdr:colOff>556260</xdr:colOff>
      <xdr:row>18</xdr:row>
      <xdr:rowOff>137160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xdr:colOff>
      <xdr:row>19</xdr:row>
      <xdr:rowOff>38100</xdr:rowOff>
    </xdr:from>
    <xdr:to>
      <xdr:col>12</xdr:col>
      <xdr:colOff>563880</xdr:colOff>
      <xdr:row>33</xdr:row>
      <xdr:rowOff>144780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200025</xdr:colOff>
      <xdr:row>1</xdr:row>
      <xdr:rowOff>133350</xdr:rowOff>
    </xdr:from>
    <xdr:to>
      <xdr:col>4</xdr:col>
      <xdr:colOff>238125</xdr:colOff>
      <xdr:row>5</xdr:row>
      <xdr:rowOff>47625</xdr:rowOff>
    </xdr:to>
    <xdr:sp macro="" textlink="">
      <xdr:nvSpPr>
        <xdr:cNvPr id="7177" name="CommandButton1" hidden="1">
          <a:extLst>
            <a:ext uri="{63B3BB69-23CF-44E3-9099-C40C66FF867C}">
              <a14:compatExt xmlns:a14="http://schemas.microsoft.com/office/drawing/2010/main" spid="_x0000_s7177"/>
            </a:ext>
            <a:ext uri="{FF2B5EF4-FFF2-40B4-BE49-F238E27FC236}">
              <a16:creationId xmlns:a16="http://schemas.microsoft.com/office/drawing/2014/main" id="{00000000-0008-0000-0800-000009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editAs="oneCell">
    <xdr:from>
      <xdr:col>11</xdr:col>
      <xdr:colOff>733425</xdr:colOff>
      <xdr:row>1</xdr:row>
      <xdr:rowOff>85725</xdr:rowOff>
    </xdr:from>
    <xdr:to>
      <xdr:col>15</xdr:col>
      <xdr:colOff>99060</xdr:colOff>
      <xdr:row>5</xdr:row>
      <xdr:rowOff>0</xdr:rowOff>
    </xdr:to>
    <xdr:sp macro="" textlink="">
      <xdr:nvSpPr>
        <xdr:cNvPr id="7178" name="CommandButton2" hidden="1">
          <a:extLst>
            <a:ext uri="{63B3BB69-23CF-44E3-9099-C40C66FF867C}">
              <a14:compatExt xmlns:a14="http://schemas.microsoft.com/office/drawing/2010/main" spid="_x0000_s7178"/>
            </a:ext>
            <a:ext uri="{FF2B5EF4-FFF2-40B4-BE49-F238E27FC236}">
              <a16:creationId xmlns:a16="http://schemas.microsoft.com/office/drawing/2014/main" id="{00000000-0008-0000-0800-00000A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200025</xdr:colOff>
      <xdr:row>1</xdr:row>
      <xdr:rowOff>133350</xdr:rowOff>
    </xdr:from>
    <xdr:to>
      <xdr:col>4</xdr:col>
      <xdr:colOff>85725</xdr:colOff>
      <xdr:row>5</xdr:row>
      <xdr:rowOff>47625</xdr:rowOff>
    </xdr:to>
    <xdr:pic macro="[0]!ClearData">
      <xdr:nvPicPr>
        <xdr:cNvPr id="2" name="CommandButton1">
          <a:extLst>
            <a:ext uri="{FF2B5EF4-FFF2-40B4-BE49-F238E27FC236}">
              <a16:creationId xmlns:a16="http://schemas.microsoft.com/office/drawing/2014/main" id="{00000000-0008-0000-08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447675"/>
          <a:ext cx="2867025" cy="676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11</xdr:col>
      <xdr:colOff>542925</xdr:colOff>
      <xdr:row>1</xdr:row>
      <xdr:rowOff>76200</xdr:rowOff>
    </xdr:from>
    <xdr:to>
      <xdr:col>14</xdr:col>
      <xdr:colOff>1365885</xdr:colOff>
      <xdr:row>4</xdr:row>
      <xdr:rowOff>180975</xdr:rowOff>
    </xdr:to>
    <xdr:pic macro="[0]!ExportData">
      <xdr:nvPicPr>
        <xdr:cNvPr id="3" name="CommandButton2">
          <a:extLst>
            <a:ext uri="{FF2B5EF4-FFF2-40B4-BE49-F238E27FC236}">
              <a16:creationId xmlns:a16="http://schemas.microsoft.com/office/drawing/2014/main" id="{00000000-0008-0000-08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05825" y="390525"/>
          <a:ext cx="3343275" cy="676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5:J57"/>
  <sheetViews>
    <sheetView zoomScaleNormal="100" workbookViewId="0">
      <selection activeCell="I45" sqref="I45"/>
    </sheetView>
  </sheetViews>
  <sheetFormatPr defaultRowHeight="14.5" x14ac:dyDescent="0.35"/>
  <cols>
    <col min="4" max="4" width="8.81640625" style="4"/>
    <col min="7" max="7" width="10.81640625" bestFit="1" customWidth="1"/>
    <col min="8" max="8" width="7.26953125" customWidth="1"/>
    <col min="9" max="9" width="18.7265625" bestFit="1" customWidth="1"/>
  </cols>
  <sheetData>
    <row r="5" spans="1:10" s="9" customFormat="1" ht="12" x14ac:dyDescent="0.3">
      <c r="D5" s="4"/>
    </row>
    <row r="6" spans="1:10" s="9" customFormat="1" ht="12" x14ac:dyDescent="0.3">
      <c r="D6" s="4"/>
    </row>
    <row r="7" spans="1:10" s="2" customFormat="1" ht="22.5" x14ac:dyDescent="0.45">
      <c r="A7" s="448" t="s">
        <v>110</v>
      </c>
      <c r="B7" s="448"/>
      <c r="C7" s="448"/>
      <c r="D7" s="448"/>
      <c r="E7" s="448"/>
      <c r="F7" s="448"/>
      <c r="G7" s="448"/>
      <c r="H7" s="448"/>
      <c r="I7" s="448"/>
      <c r="J7" s="1"/>
    </row>
    <row r="8" spans="1:10" s="9" customFormat="1" ht="12" x14ac:dyDescent="0.3">
      <c r="D8" s="4"/>
    </row>
    <row r="9" spans="1:10" s="9" customFormat="1" ht="12" x14ac:dyDescent="0.3">
      <c r="D9" s="4"/>
    </row>
    <row r="10" spans="1:10" s="9" customFormat="1" ht="12" x14ac:dyDescent="0.3">
      <c r="D10" s="4"/>
    </row>
    <row r="11" spans="1:10" s="6" customFormat="1" ht="21" x14ac:dyDescent="0.5">
      <c r="A11" s="447" t="s">
        <v>0</v>
      </c>
      <c r="B11" s="447"/>
      <c r="C11" s="447"/>
      <c r="D11" s="447"/>
      <c r="E11" s="447"/>
      <c r="F11" s="447"/>
      <c r="G11" s="447"/>
      <c r="H11" s="447"/>
      <c r="I11" s="447"/>
      <c r="J11" s="7"/>
    </row>
    <row r="12" spans="1:10" ht="20" x14ac:dyDescent="0.4">
      <c r="A12" s="450"/>
      <c r="B12" s="450"/>
      <c r="C12" s="450"/>
      <c r="D12" s="450"/>
      <c r="E12" s="450"/>
      <c r="F12" s="450"/>
      <c r="G12" s="450"/>
      <c r="H12" s="450"/>
      <c r="I12" s="450"/>
    </row>
    <row r="13" spans="1:10" s="5" customFormat="1" ht="17.5" x14ac:dyDescent="0.35">
      <c r="A13" s="449">
        <f>'Take Off Sheet'!A10</f>
        <v>44013</v>
      </c>
      <c r="B13" s="449"/>
      <c r="C13" s="449"/>
      <c r="D13" s="449"/>
      <c r="E13" s="449"/>
      <c r="F13" s="449"/>
      <c r="G13" s="449"/>
      <c r="H13" s="449"/>
      <c r="I13" s="449"/>
      <c r="J13" s="8"/>
    </row>
    <row r="14" spans="1:10" s="9" customFormat="1" ht="10.5" x14ac:dyDescent="0.25">
      <c r="D14" s="3"/>
    </row>
    <row r="15" spans="1:10" s="9" customFormat="1" ht="10.5" x14ac:dyDescent="0.25">
      <c r="D15" s="3"/>
    </row>
    <row r="16" spans="1:10" s="10" customFormat="1" ht="12" x14ac:dyDescent="0.3">
      <c r="D16" s="12" t="s">
        <v>2</v>
      </c>
      <c r="E16" s="11"/>
      <c r="F16" s="18"/>
    </row>
    <row r="17" spans="4:6" s="10" customFormat="1" ht="12" x14ac:dyDescent="0.3">
      <c r="D17" s="19"/>
      <c r="E17" s="11"/>
      <c r="F17" s="18"/>
    </row>
    <row r="18" spans="4:6" s="10" customFormat="1" ht="12" x14ac:dyDescent="0.3">
      <c r="D18" s="12" t="s">
        <v>6</v>
      </c>
      <c r="E18" s="13" t="s">
        <v>153</v>
      </c>
      <c r="F18" s="18"/>
    </row>
    <row r="19" spans="4:6" s="10" customFormat="1" ht="12" x14ac:dyDescent="0.3">
      <c r="D19" s="19"/>
      <c r="E19" s="20"/>
      <c r="F19" s="18"/>
    </row>
    <row r="20" spans="4:6" s="10" customFormat="1" ht="12" x14ac:dyDescent="0.3">
      <c r="D20" s="12" t="s">
        <v>7</v>
      </c>
      <c r="E20" s="13" t="s">
        <v>111</v>
      </c>
      <c r="F20" s="18"/>
    </row>
    <row r="21" spans="4:6" s="10" customFormat="1" ht="12" x14ac:dyDescent="0.3">
      <c r="D21" s="12"/>
      <c r="E21" s="20"/>
      <c r="F21" s="18"/>
    </row>
    <row r="22" spans="4:6" s="10" customFormat="1" ht="12" x14ac:dyDescent="0.3">
      <c r="D22" s="12" t="s">
        <v>8</v>
      </c>
      <c r="E22" s="13" t="s">
        <v>112</v>
      </c>
      <c r="F22" s="18"/>
    </row>
    <row r="23" spans="4:6" s="10" customFormat="1" ht="12" x14ac:dyDescent="0.3">
      <c r="D23" s="12"/>
      <c r="E23" s="13"/>
      <c r="F23" s="18"/>
    </row>
    <row r="24" spans="4:6" s="10" customFormat="1" ht="12" x14ac:dyDescent="0.3">
      <c r="D24" s="12" t="s">
        <v>9</v>
      </c>
      <c r="E24" s="13" t="s">
        <v>113</v>
      </c>
      <c r="F24" s="18"/>
    </row>
    <row r="25" spans="4:6" s="10" customFormat="1" ht="12" x14ac:dyDescent="0.3">
      <c r="D25" s="12"/>
      <c r="E25" s="13"/>
      <c r="F25" s="18"/>
    </row>
    <row r="26" spans="4:6" s="10" customFormat="1" ht="12" x14ac:dyDescent="0.3">
      <c r="D26" s="12" t="s">
        <v>10</v>
      </c>
      <c r="E26" s="13" t="s">
        <v>326</v>
      </c>
      <c r="F26" s="18"/>
    </row>
    <row r="27" spans="4:6" s="10" customFormat="1" ht="12" x14ac:dyDescent="0.3">
      <c r="D27" s="12"/>
      <c r="F27" s="18"/>
    </row>
    <row r="28" spans="4:6" s="10" customFormat="1" ht="12" x14ac:dyDescent="0.3">
      <c r="D28" s="12" t="s">
        <v>13</v>
      </c>
      <c r="E28" s="13" t="s">
        <v>140</v>
      </c>
      <c r="F28" s="18"/>
    </row>
    <row r="29" spans="4:6" s="10" customFormat="1" ht="12" x14ac:dyDescent="0.3">
      <c r="D29" s="12"/>
      <c r="E29" s="13"/>
      <c r="F29" s="18"/>
    </row>
    <row r="30" spans="4:6" s="10" customFormat="1" ht="12" x14ac:dyDescent="0.3">
      <c r="D30" s="12" t="s">
        <v>14</v>
      </c>
      <c r="E30" s="13" t="s">
        <v>282</v>
      </c>
      <c r="F30" s="18"/>
    </row>
    <row r="31" spans="4:6" s="10" customFormat="1" ht="12" x14ac:dyDescent="0.3">
      <c r="D31" s="12"/>
      <c r="E31" s="13"/>
      <c r="F31" s="18"/>
    </row>
    <row r="32" spans="4:6" s="10" customFormat="1" ht="12" customHeight="1" x14ac:dyDescent="0.3">
      <c r="D32" s="12" t="s">
        <v>245</v>
      </c>
      <c r="E32" s="13" t="s">
        <v>184</v>
      </c>
      <c r="F32" s="18"/>
    </row>
    <row r="33" spans="4:6" s="10" customFormat="1" ht="12" customHeight="1" x14ac:dyDescent="0.3">
      <c r="D33" s="19"/>
      <c r="E33" s="20"/>
      <c r="F33" s="18"/>
    </row>
    <row r="34" spans="4:6" s="10" customFormat="1" ht="12" customHeight="1" x14ac:dyDescent="0.3">
      <c r="D34" s="19" t="s">
        <v>246</v>
      </c>
      <c r="E34" s="17" t="s">
        <v>247</v>
      </c>
      <c r="F34" s="18"/>
    </row>
    <row r="35" spans="4:6" s="10" customFormat="1" ht="12" customHeight="1" x14ac:dyDescent="0.3">
      <c r="D35" s="19"/>
      <c r="E35" s="19"/>
      <c r="F35" s="18"/>
    </row>
    <row r="36" spans="4:6" s="10" customFormat="1" ht="12" customHeight="1" x14ac:dyDescent="0.3">
      <c r="D36" s="19" t="s">
        <v>271</v>
      </c>
      <c r="E36" s="16" t="s">
        <v>248</v>
      </c>
      <c r="F36" s="18"/>
    </row>
    <row r="37" spans="4:6" s="10" customFormat="1" ht="12" customHeight="1" x14ac:dyDescent="0.3">
      <c r="D37" s="19"/>
      <c r="E37" s="19"/>
      <c r="F37" s="18"/>
    </row>
    <row r="38" spans="4:6" s="10" customFormat="1" ht="12" customHeight="1" x14ac:dyDescent="0.3">
      <c r="D38" s="19" t="s">
        <v>325</v>
      </c>
      <c r="E38" s="16" t="s">
        <v>272</v>
      </c>
      <c r="F38" s="18"/>
    </row>
    <row r="39" spans="4:6" s="10" customFormat="1" ht="12" customHeight="1" x14ac:dyDescent="0.3">
      <c r="D39" s="19"/>
      <c r="E39" s="19"/>
      <c r="F39" s="18"/>
    </row>
    <row r="40" spans="4:6" s="10" customFormat="1" ht="12" customHeight="1" x14ac:dyDescent="0.3">
      <c r="D40" s="19" t="s">
        <v>489</v>
      </c>
      <c r="E40" s="16" t="s">
        <v>490</v>
      </c>
      <c r="F40" s="18"/>
    </row>
    <row r="41" spans="4:6" s="9" customFormat="1" ht="12" customHeight="1" x14ac:dyDescent="0.25">
      <c r="D41" s="3"/>
    </row>
    <row r="42" spans="4:6" s="9" customFormat="1" ht="12" customHeight="1" x14ac:dyDescent="0.25">
      <c r="D42" s="3"/>
    </row>
    <row r="43" spans="4:6" s="9" customFormat="1" ht="12" customHeight="1" x14ac:dyDescent="0.25">
      <c r="D43" s="3"/>
    </row>
    <row r="44" spans="4:6" s="9" customFormat="1" ht="12" customHeight="1" x14ac:dyDescent="0.25">
      <c r="D44" s="3"/>
    </row>
    <row r="45" spans="4:6" s="9" customFormat="1" ht="12" customHeight="1" x14ac:dyDescent="0.25">
      <c r="D45" s="3"/>
    </row>
    <row r="46" spans="4:6" s="10" customFormat="1" ht="12" x14ac:dyDescent="0.3">
      <c r="D46" s="4"/>
    </row>
    <row r="47" spans="4:6" s="10" customFormat="1" ht="12" x14ac:dyDescent="0.3">
      <c r="D47" s="4"/>
    </row>
    <row r="48" spans="4:6" s="10" customFormat="1" ht="12" x14ac:dyDescent="0.3">
      <c r="D48" s="4"/>
    </row>
    <row r="49" spans="4:9" s="10" customFormat="1" ht="12" x14ac:dyDescent="0.3">
      <c r="D49" s="4"/>
    </row>
    <row r="50" spans="4:9" s="10" customFormat="1" ht="12" x14ac:dyDescent="0.3">
      <c r="D50" s="4"/>
    </row>
    <row r="51" spans="4:9" s="10" customFormat="1" ht="12" x14ac:dyDescent="0.3">
      <c r="D51" s="4"/>
    </row>
    <row r="52" spans="4:9" s="10" customFormat="1" ht="12" x14ac:dyDescent="0.3">
      <c r="D52" s="4"/>
    </row>
    <row r="54" spans="4:9" x14ac:dyDescent="0.35">
      <c r="G54" s="21"/>
      <c r="H54" s="22"/>
      <c r="I54" s="23"/>
    </row>
    <row r="55" spans="4:9" x14ac:dyDescent="0.35">
      <c r="G55" s="335"/>
      <c r="H55" s="336"/>
      <c r="I55" s="337"/>
    </row>
    <row r="56" spans="4:9" x14ac:dyDescent="0.35">
      <c r="G56" s="21" t="s">
        <v>3</v>
      </c>
      <c r="H56" s="22"/>
      <c r="I56" s="23">
        <f>'Take Off Sheet'!A9</f>
        <v>44047</v>
      </c>
    </row>
    <row r="57" spans="4:9" x14ac:dyDescent="0.35">
      <c r="G57" s="21" t="s">
        <v>4</v>
      </c>
      <c r="H57" s="22"/>
      <c r="I57" s="24" t="s">
        <v>50</v>
      </c>
    </row>
  </sheetData>
  <mergeCells count="4">
    <mergeCell ref="A11:I11"/>
    <mergeCell ref="A7:I7"/>
    <mergeCell ref="A13:I13"/>
    <mergeCell ref="A12:I12"/>
  </mergeCells>
  <printOptions horizontalCentered="1"/>
  <pageMargins left="0.7" right="0.7" top="0.45" bottom="0.28000000000000003" header="0.25" footer="0.2"/>
  <pageSetup scale="99" orientation="portrait" r:id="rId1"/>
  <headerFooter differentFirst="1">
    <oddFooter>Page &amp;P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5:K52"/>
  <sheetViews>
    <sheetView topLeftCell="A10" zoomScaleNormal="100" workbookViewId="0">
      <selection activeCell="K28" sqref="K28"/>
    </sheetView>
  </sheetViews>
  <sheetFormatPr defaultRowHeight="14.5" x14ac:dyDescent="0.35"/>
  <cols>
    <col min="2" max="2" width="4.81640625" customWidth="1"/>
    <col min="7" max="7" width="10.81640625" bestFit="1" customWidth="1"/>
    <col min="8" max="8" width="13.26953125" customWidth="1"/>
    <col min="9" max="9" width="15.7265625" customWidth="1"/>
  </cols>
  <sheetData>
    <row r="5" spans="1:9" x14ac:dyDescent="0.35">
      <c r="A5" s="9"/>
      <c r="B5" s="9"/>
      <c r="C5" s="9"/>
      <c r="D5" s="9"/>
      <c r="E5" s="9"/>
      <c r="F5" s="9"/>
      <c r="G5" s="9"/>
      <c r="H5" s="9"/>
      <c r="I5" s="9"/>
    </row>
    <row r="6" spans="1:9" x14ac:dyDescent="0.35">
      <c r="A6" s="9"/>
      <c r="B6" s="9"/>
      <c r="C6" s="9"/>
      <c r="D6" s="9"/>
      <c r="E6" s="9"/>
      <c r="F6" s="9"/>
      <c r="G6" s="9"/>
      <c r="H6" s="9"/>
      <c r="I6" s="9"/>
    </row>
    <row r="7" spans="1:9" ht="22.5" x14ac:dyDescent="0.45">
      <c r="A7" s="448" t="s">
        <v>110</v>
      </c>
      <c r="B7" s="448"/>
      <c r="C7" s="448"/>
      <c r="D7" s="448"/>
      <c r="E7" s="448"/>
      <c r="F7" s="448"/>
      <c r="G7" s="448"/>
      <c r="H7" s="448"/>
      <c r="I7" s="448"/>
    </row>
    <row r="8" spans="1:9" x14ac:dyDescent="0.35">
      <c r="A8" s="9"/>
      <c r="B8" s="9"/>
      <c r="C8" s="383"/>
      <c r="D8" s="9"/>
      <c r="E8" s="9"/>
      <c r="F8" s="9"/>
      <c r="G8" s="9"/>
      <c r="H8" s="9"/>
      <c r="I8" s="9"/>
    </row>
    <row r="9" spans="1:9" x14ac:dyDescent="0.35">
      <c r="A9" s="9"/>
      <c r="B9" s="9"/>
      <c r="C9" s="383"/>
      <c r="D9" s="9"/>
      <c r="E9" s="9"/>
      <c r="F9" s="9"/>
      <c r="G9" s="9"/>
      <c r="H9" s="9"/>
      <c r="I9" s="9"/>
    </row>
    <row r="10" spans="1:9" x14ac:dyDescent="0.35">
      <c r="A10" s="9"/>
      <c r="B10" s="9"/>
      <c r="C10" s="9"/>
      <c r="D10" s="9"/>
      <c r="E10" s="9"/>
      <c r="F10" s="9"/>
      <c r="G10" s="9"/>
      <c r="H10" s="9"/>
      <c r="I10" s="9"/>
    </row>
    <row r="11" spans="1:9" ht="20" x14ac:dyDescent="0.4">
      <c r="A11" s="447" t="s">
        <v>5</v>
      </c>
      <c r="B11" s="447"/>
      <c r="C11" s="447"/>
      <c r="D11" s="447"/>
      <c r="E11" s="447"/>
      <c r="F11" s="447"/>
      <c r="G11" s="447"/>
      <c r="H11" s="447"/>
      <c r="I11" s="447"/>
    </row>
    <row r="13" spans="1:9" ht="17.5" x14ac:dyDescent="0.35">
      <c r="A13" s="449">
        <f>'Take Off Sheet'!A10</f>
        <v>44013</v>
      </c>
      <c r="B13" s="449"/>
      <c r="C13" s="449"/>
      <c r="D13" s="449"/>
      <c r="E13" s="449"/>
      <c r="F13" s="449"/>
      <c r="G13" s="449"/>
      <c r="H13" s="449"/>
      <c r="I13" s="449"/>
    </row>
    <row r="14" spans="1:9" x14ac:dyDescent="0.35">
      <c r="A14" s="451"/>
      <c r="B14" s="451"/>
      <c r="C14" s="451"/>
      <c r="D14" s="451"/>
      <c r="E14" s="451"/>
      <c r="F14" s="451"/>
      <c r="G14" s="451"/>
      <c r="H14" s="451"/>
      <c r="I14" s="451"/>
    </row>
    <row r="16" spans="1:9" x14ac:dyDescent="0.35">
      <c r="A16" s="10"/>
      <c r="B16" s="10"/>
      <c r="C16" s="10"/>
      <c r="D16" s="12" t="s">
        <v>2</v>
      </c>
      <c r="E16" s="11"/>
      <c r="F16" s="18"/>
      <c r="G16" s="10"/>
      <c r="H16" s="10"/>
      <c r="I16" s="10"/>
    </row>
    <row r="17" spans="1:9" x14ac:dyDescent="0.35">
      <c r="A17" s="10"/>
      <c r="B17" s="10"/>
      <c r="C17" s="10"/>
      <c r="D17" s="19"/>
      <c r="E17" s="11"/>
      <c r="F17" s="18"/>
      <c r="G17" s="10"/>
      <c r="H17" s="10"/>
      <c r="I17" s="10"/>
    </row>
    <row r="18" spans="1:9" x14ac:dyDescent="0.35">
      <c r="A18" s="10"/>
      <c r="B18" s="10"/>
      <c r="C18" s="10"/>
      <c r="D18" s="12" t="s">
        <v>6</v>
      </c>
      <c r="E18" s="13" t="s">
        <v>11</v>
      </c>
      <c r="F18" s="18"/>
      <c r="G18" s="10"/>
      <c r="H18" s="10"/>
      <c r="I18" s="10"/>
    </row>
    <row r="19" spans="1:9" x14ac:dyDescent="0.35">
      <c r="A19" s="10"/>
      <c r="B19" s="10"/>
      <c r="C19" s="10"/>
      <c r="D19" s="12"/>
      <c r="E19" s="20"/>
      <c r="F19" s="18"/>
      <c r="G19" s="10"/>
      <c r="H19" s="10"/>
      <c r="I19" s="10"/>
    </row>
    <row r="20" spans="1:9" x14ac:dyDescent="0.35">
      <c r="A20" s="10"/>
      <c r="B20" s="10"/>
      <c r="C20" s="10"/>
      <c r="D20" s="12" t="s">
        <v>7</v>
      </c>
      <c r="E20" s="13" t="s">
        <v>341</v>
      </c>
      <c r="F20" s="18"/>
      <c r="G20" s="10"/>
      <c r="H20" s="10"/>
      <c r="I20" s="10"/>
    </row>
    <row r="21" spans="1:9" x14ac:dyDescent="0.35">
      <c r="A21" s="10"/>
      <c r="B21" s="10"/>
      <c r="C21" s="10"/>
      <c r="D21" s="12"/>
      <c r="E21" s="20"/>
      <c r="F21" s="18"/>
      <c r="G21" s="10"/>
      <c r="H21" s="10"/>
      <c r="I21" s="10"/>
    </row>
    <row r="22" spans="1:9" x14ac:dyDescent="0.35">
      <c r="A22" s="10"/>
      <c r="B22" s="10"/>
      <c r="C22" s="10"/>
      <c r="D22" s="12" t="s">
        <v>8</v>
      </c>
      <c r="E22" s="13" t="s">
        <v>12</v>
      </c>
      <c r="F22" s="18"/>
      <c r="G22" s="10"/>
      <c r="H22" s="10"/>
      <c r="I22" s="10"/>
    </row>
    <row r="23" spans="1:9" x14ac:dyDescent="0.35">
      <c r="A23" s="10"/>
      <c r="B23" s="10"/>
      <c r="C23" s="10"/>
      <c r="D23" s="12"/>
      <c r="E23" s="13"/>
      <c r="F23" s="18"/>
      <c r="G23" s="10"/>
      <c r="H23" s="10"/>
      <c r="I23" s="10"/>
    </row>
    <row r="24" spans="1:9" x14ac:dyDescent="0.35">
      <c r="A24" s="10"/>
      <c r="B24" s="10"/>
      <c r="C24" s="10"/>
      <c r="D24" s="12" t="s">
        <v>9</v>
      </c>
      <c r="E24" s="13" t="s">
        <v>51</v>
      </c>
      <c r="F24" s="18"/>
      <c r="G24" s="10"/>
      <c r="H24" s="10"/>
      <c r="I24" s="10"/>
    </row>
    <row r="25" spans="1:9" x14ac:dyDescent="0.35">
      <c r="A25" s="10"/>
      <c r="B25" s="10"/>
      <c r="C25" s="10"/>
      <c r="D25" s="14"/>
      <c r="E25" s="13"/>
      <c r="F25" s="18"/>
      <c r="G25" s="10"/>
      <c r="H25" s="10"/>
      <c r="I25" s="10"/>
    </row>
    <row r="26" spans="1:9" x14ac:dyDescent="0.35">
      <c r="A26" s="10"/>
      <c r="B26" s="10"/>
      <c r="C26" s="10"/>
      <c r="D26" s="12" t="s">
        <v>10</v>
      </c>
      <c r="E26" s="13" t="s">
        <v>259</v>
      </c>
      <c r="F26" s="18"/>
      <c r="G26" s="10"/>
      <c r="H26" s="10"/>
      <c r="I26" s="10"/>
    </row>
    <row r="27" spans="1:9" x14ac:dyDescent="0.35">
      <c r="A27" s="10"/>
      <c r="B27" s="10"/>
      <c r="C27" s="10"/>
      <c r="G27" s="10"/>
      <c r="H27" s="10"/>
      <c r="I27" s="10"/>
    </row>
    <row r="28" spans="1:9" x14ac:dyDescent="0.35">
      <c r="A28" s="10"/>
      <c r="B28" s="10"/>
      <c r="C28" s="10"/>
      <c r="D28" s="12" t="s">
        <v>13</v>
      </c>
      <c r="E28" s="13" t="s">
        <v>470</v>
      </c>
      <c r="G28" s="10"/>
      <c r="H28" s="10"/>
      <c r="I28" s="10"/>
    </row>
    <row r="29" spans="1:9" x14ac:dyDescent="0.35">
      <c r="A29" s="10"/>
      <c r="B29" s="10"/>
      <c r="C29" s="10"/>
      <c r="D29" s="14"/>
      <c r="E29" s="13"/>
      <c r="F29" s="18"/>
      <c r="G29" s="10"/>
      <c r="H29" s="10"/>
      <c r="I29" s="10"/>
    </row>
    <row r="30" spans="1:9" ht="33.5" x14ac:dyDescent="0.75">
      <c r="A30" s="10"/>
      <c r="B30" s="10"/>
      <c r="C30" s="299"/>
      <c r="D30" s="300"/>
      <c r="E30" s="301"/>
      <c r="F30" s="302"/>
      <c r="G30" s="299"/>
      <c r="H30" s="299"/>
      <c r="I30" s="299"/>
    </row>
    <row r="31" spans="1:9" x14ac:dyDescent="0.35">
      <c r="A31" s="10"/>
      <c r="B31" s="10"/>
      <c r="C31" s="10"/>
      <c r="D31" s="12"/>
      <c r="E31" s="20"/>
      <c r="F31" s="18"/>
      <c r="G31" s="10"/>
      <c r="H31" s="10"/>
      <c r="I31" s="10"/>
    </row>
    <row r="32" spans="1:9" x14ac:dyDescent="0.35">
      <c r="A32" s="10"/>
      <c r="B32" s="10"/>
      <c r="C32" s="10"/>
      <c r="D32" s="19"/>
      <c r="E32" s="15"/>
      <c r="F32" s="18"/>
      <c r="G32" s="10"/>
      <c r="H32" s="10"/>
      <c r="I32" s="10"/>
    </row>
    <row r="33" spans="1:11" x14ac:dyDescent="0.35">
      <c r="A33" s="10"/>
      <c r="B33" s="10"/>
      <c r="C33" s="10"/>
      <c r="D33" s="12"/>
      <c r="E33" s="20"/>
      <c r="F33" s="18"/>
      <c r="G33" s="10"/>
      <c r="H33" s="10"/>
      <c r="I33" s="10"/>
    </row>
    <row r="34" spans="1:11" x14ac:dyDescent="0.35">
      <c r="A34" s="10"/>
      <c r="B34" s="10"/>
      <c r="C34" s="10"/>
      <c r="D34" s="12"/>
      <c r="E34" s="16"/>
      <c r="F34" s="18"/>
      <c r="G34" s="10"/>
      <c r="H34" s="10"/>
      <c r="I34" s="10"/>
    </row>
    <row r="35" spans="1:11" x14ac:dyDescent="0.35">
      <c r="A35" s="10"/>
      <c r="B35" s="10"/>
      <c r="C35" s="10"/>
      <c r="D35" s="12"/>
      <c r="E35" s="20"/>
      <c r="F35" s="18"/>
      <c r="G35" s="10"/>
      <c r="H35" s="10"/>
      <c r="I35" s="10"/>
    </row>
    <row r="36" spans="1:11" x14ac:dyDescent="0.35">
      <c r="A36" s="10"/>
      <c r="B36" s="10"/>
      <c r="C36" s="10"/>
      <c r="D36" s="12"/>
      <c r="E36" s="17"/>
      <c r="F36" s="18"/>
      <c r="G36" s="10"/>
      <c r="H36" s="10"/>
      <c r="I36" s="10"/>
    </row>
    <row r="37" spans="1:11" x14ac:dyDescent="0.35">
      <c r="A37" s="10"/>
      <c r="B37" s="10"/>
      <c r="C37" s="10"/>
      <c r="D37" s="12"/>
      <c r="E37" s="20"/>
      <c r="F37" s="18"/>
      <c r="G37" s="10"/>
      <c r="H37" s="10"/>
      <c r="I37" s="10"/>
    </row>
    <row r="38" spans="1:11" x14ac:dyDescent="0.35">
      <c r="A38" s="10"/>
      <c r="B38" s="10"/>
      <c r="C38" s="10"/>
      <c r="D38" s="12"/>
      <c r="E38" s="17"/>
      <c r="F38" s="18"/>
      <c r="G38" s="10"/>
      <c r="H38" s="10"/>
      <c r="I38" s="10"/>
    </row>
    <row r="39" spans="1:11" x14ac:dyDescent="0.35">
      <c r="A39" s="10"/>
      <c r="B39" s="10"/>
      <c r="C39" s="10"/>
      <c r="D39" s="19"/>
      <c r="E39" s="19"/>
      <c r="F39" s="18"/>
      <c r="G39" s="10"/>
      <c r="H39" s="10"/>
      <c r="I39" s="10"/>
    </row>
    <row r="40" spans="1:11" x14ac:dyDescent="0.35">
      <c r="A40" s="10"/>
      <c r="B40" s="10"/>
      <c r="C40" s="10"/>
      <c r="D40" s="19"/>
      <c r="E40" s="16"/>
      <c r="F40" s="18"/>
      <c r="G40" s="10"/>
      <c r="H40" s="10"/>
      <c r="I40" s="10"/>
    </row>
    <row r="41" spans="1:11" x14ac:dyDescent="0.35">
      <c r="A41" s="10"/>
      <c r="B41" s="10"/>
      <c r="C41" s="10"/>
      <c r="D41" s="19"/>
      <c r="E41" s="19"/>
      <c r="F41" s="18"/>
      <c r="G41" s="21"/>
      <c r="H41" s="22"/>
      <c r="I41" s="23"/>
    </row>
    <row r="42" spans="1:11" x14ac:dyDescent="0.35">
      <c r="A42" s="10"/>
      <c r="B42" s="10"/>
      <c r="C42" s="10"/>
      <c r="D42" s="19"/>
      <c r="E42" s="16"/>
      <c r="F42" s="18"/>
      <c r="G42" s="21" t="s">
        <v>3</v>
      </c>
      <c r="H42" s="390"/>
      <c r="I42" s="391">
        <f>'Take Off Sheet'!A9</f>
        <v>44047</v>
      </c>
    </row>
    <row r="43" spans="1:11" x14ac:dyDescent="0.35">
      <c r="A43" s="10"/>
      <c r="B43" s="10"/>
      <c r="C43" s="10"/>
      <c r="D43" s="19"/>
      <c r="E43" s="19"/>
      <c r="F43" s="18"/>
      <c r="G43" s="21" t="s">
        <v>4</v>
      </c>
      <c r="H43" s="22"/>
      <c r="I43" s="24" t="s">
        <v>50</v>
      </c>
      <c r="J43" s="22"/>
      <c r="K43" s="23"/>
    </row>
    <row r="44" spans="1:11" x14ac:dyDescent="0.35">
      <c r="A44" s="10"/>
      <c r="B44" s="10"/>
      <c r="C44" s="10"/>
      <c r="D44" s="19"/>
      <c r="E44" s="16"/>
      <c r="F44" s="18"/>
      <c r="G44" s="10"/>
      <c r="H44" s="10"/>
      <c r="I44" s="21"/>
      <c r="J44" s="22"/>
      <c r="K44" s="24"/>
    </row>
    <row r="45" spans="1:11" x14ac:dyDescent="0.35">
      <c r="A45" s="10"/>
      <c r="B45" s="10"/>
      <c r="C45" s="10"/>
      <c r="D45" s="10"/>
      <c r="E45" s="10"/>
      <c r="F45" s="10"/>
      <c r="G45" s="10"/>
      <c r="H45" s="10"/>
      <c r="I45" s="10"/>
    </row>
    <row r="46" spans="1:11" x14ac:dyDescent="0.35">
      <c r="A46" s="10"/>
      <c r="B46" s="10"/>
      <c r="C46" s="10"/>
      <c r="D46" s="10"/>
      <c r="E46" s="10"/>
      <c r="F46" s="10"/>
      <c r="G46" s="10"/>
      <c r="H46" s="10"/>
      <c r="I46" s="10"/>
    </row>
    <row r="47" spans="1:11" x14ac:dyDescent="0.35">
      <c r="A47" s="10"/>
      <c r="B47" s="10"/>
      <c r="C47" s="10"/>
      <c r="D47" s="10"/>
      <c r="E47" s="10"/>
      <c r="F47" s="10"/>
      <c r="G47" s="10"/>
      <c r="H47" s="10"/>
      <c r="I47" s="10"/>
    </row>
    <row r="48" spans="1:11" x14ac:dyDescent="0.35">
      <c r="A48" s="10"/>
      <c r="B48" s="10"/>
      <c r="C48" s="10"/>
      <c r="D48" s="10"/>
      <c r="E48" s="10"/>
      <c r="F48" s="10"/>
      <c r="G48" s="10"/>
      <c r="H48" s="10"/>
      <c r="I48" s="10"/>
    </row>
    <row r="49" spans="1:9" x14ac:dyDescent="0.35">
      <c r="A49" s="10"/>
      <c r="B49" s="10"/>
      <c r="C49" s="10"/>
      <c r="D49" s="10"/>
      <c r="E49" s="10"/>
      <c r="F49" s="10"/>
      <c r="G49" s="10"/>
      <c r="H49" s="10"/>
      <c r="I49" s="10"/>
    </row>
    <row r="50" spans="1:9" x14ac:dyDescent="0.35">
      <c r="A50" s="10"/>
      <c r="B50" s="10"/>
      <c r="C50" s="10"/>
      <c r="D50" s="10"/>
      <c r="E50" s="10"/>
      <c r="F50" s="10"/>
      <c r="G50" s="21"/>
      <c r="H50" s="22"/>
      <c r="I50" s="23"/>
    </row>
    <row r="51" spans="1:9" x14ac:dyDescent="0.35">
      <c r="A51" s="10"/>
      <c r="B51" s="10"/>
      <c r="C51" s="10"/>
      <c r="D51" s="10"/>
      <c r="E51" s="10"/>
      <c r="F51" s="10"/>
      <c r="G51" s="21"/>
      <c r="H51" s="22"/>
      <c r="I51" s="24"/>
    </row>
    <row r="52" spans="1:9" x14ac:dyDescent="0.35">
      <c r="A52" s="10"/>
      <c r="B52" s="10"/>
      <c r="C52" s="10"/>
      <c r="D52" s="10"/>
      <c r="E52" s="10"/>
      <c r="F52" s="10"/>
      <c r="G52" s="10"/>
      <c r="H52" s="10"/>
      <c r="I52" s="10"/>
    </row>
  </sheetData>
  <sheetProtection formatColumns="0"/>
  <mergeCells count="4">
    <mergeCell ref="A7:I7"/>
    <mergeCell ref="A11:I11"/>
    <mergeCell ref="A13:I13"/>
    <mergeCell ref="A14:I14"/>
  </mergeCells>
  <pageMargins left="0.7" right="0.7" top="0.75" bottom="0.75" header="0.3" footer="0.3"/>
  <pageSetup orientation="portrait" r:id="rId1"/>
  <headerFooter differentFirst="1">
    <oddFooter>&amp;CPage 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M53"/>
  <sheetViews>
    <sheetView zoomScaleNormal="100" workbookViewId="0">
      <selection activeCell="I45" sqref="I45"/>
    </sheetView>
  </sheetViews>
  <sheetFormatPr defaultColWidth="8.81640625" defaultRowHeight="14" x14ac:dyDescent="0.3"/>
  <cols>
    <col min="1" max="1" width="3" style="25" customWidth="1"/>
    <col min="2" max="2" width="18.7265625" style="26" bestFit="1" customWidth="1"/>
    <col min="3" max="3" width="12.7265625" style="26" customWidth="1"/>
    <col min="4" max="4" width="14.453125" style="26" bestFit="1" customWidth="1"/>
    <col min="5" max="5" width="2" style="26" customWidth="1"/>
    <col min="6" max="6" width="2.26953125" style="26" customWidth="1"/>
    <col min="7" max="7" width="44.26953125" style="51" bestFit="1" customWidth="1"/>
    <col min="8" max="8" width="14.26953125" style="25" customWidth="1"/>
    <col min="9" max="10" width="8.81640625" style="25"/>
    <col min="11" max="11" width="18" style="25" customWidth="1"/>
    <col min="12" max="12" width="19.7265625" style="25" customWidth="1"/>
    <col min="13" max="13" width="19.453125" style="25" bestFit="1" customWidth="1"/>
    <col min="14" max="16384" width="8.81640625" style="25"/>
  </cols>
  <sheetData>
    <row r="1" spans="1:13" s="26" customFormat="1" ht="20" x14ac:dyDescent="0.4">
      <c r="A1" s="453" t="s">
        <v>141</v>
      </c>
      <c r="B1" s="453"/>
      <c r="C1" s="453"/>
      <c r="D1" s="453"/>
      <c r="E1" s="453"/>
      <c r="F1" s="453"/>
      <c r="G1" s="453"/>
      <c r="H1" s="453"/>
      <c r="I1" s="453"/>
      <c r="K1" s="123"/>
      <c r="L1" s="123"/>
      <c r="M1" s="123"/>
    </row>
    <row r="2" spans="1:13" ht="18" x14ac:dyDescent="0.4">
      <c r="A2" s="449">
        <f>'Take Off Sheet'!A10</f>
        <v>44013</v>
      </c>
      <c r="B2" s="449"/>
      <c r="C2" s="449"/>
      <c r="D2" s="449"/>
      <c r="E2" s="449"/>
      <c r="F2" s="449"/>
      <c r="G2" s="449"/>
      <c r="H2" s="449"/>
      <c r="I2" s="449"/>
      <c r="K2" s="248"/>
      <c r="L2" s="248"/>
      <c r="M2" s="248"/>
    </row>
    <row r="3" spans="1:13" ht="18.75" customHeight="1" x14ac:dyDescent="0.4">
      <c r="A3" s="460"/>
      <c r="B3" s="460"/>
      <c r="C3" s="460"/>
      <c r="D3" s="460"/>
      <c r="E3" s="460"/>
      <c r="F3" s="460"/>
      <c r="G3" s="460"/>
      <c r="H3" s="460"/>
      <c r="I3" s="460"/>
      <c r="K3" s="248"/>
      <c r="L3" s="248"/>
      <c r="M3" s="248"/>
    </row>
    <row r="4" spans="1:13" ht="30" customHeight="1" thickBot="1" x14ac:dyDescent="0.45">
      <c r="B4" s="34"/>
      <c r="C4" s="34"/>
      <c r="D4" s="34"/>
      <c r="E4" s="34"/>
      <c r="F4" s="34"/>
      <c r="G4" s="55"/>
      <c r="H4" s="55"/>
      <c r="K4" s="249"/>
      <c r="L4" s="249"/>
      <c r="M4" s="249"/>
    </row>
    <row r="5" spans="1:13" ht="15" customHeight="1" thickBot="1" x14ac:dyDescent="0.4">
      <c r="B5" s="454" t="s">
        <v>15</v>
      </c>
      <c r="C5" s="456" t="s">
        <v>16</v>
      </c>
      <c r="D5" s="458" t="s">
        <v>17</v>
      </c>
      <c r="F5" s="51"/>
      <c r="G5" s="274" t="s">
        <v>130</v>
      </c>
      <c r="H5" s="295">
        <f>'Take Off Sheet'!K3</f>
        <v>3430.3708609271521</v>
      </c>
      <c r="I5" s="360"/>
      <c r="K5" s="249"/>
      <c r="L5" s="130"/>
      <c r="M5" s="122"/>
    </row>
    <row r="6" spans="1:13" ht="15" customHeight="1" thickBot="1" x14ac:dyDescent="0.35">
      <c r="B6" s="455"/>
      <c r="C6" s="457"/>
      <c r="D6" s="459"/>
      <c r="G6" s="333" t="s">
        <v>487</v>
      </c>
      <c r="H6" s="296">
        <f>ABS(H5-H7-H8)</f>
        <v>289029.62913907284</v>
      </c>
      <c r="K6" s="254"/>
      <c r="L6" s="254"/>
      <c r="M6" s="122"/>
    </row>
    <row r="7" spans="1:13" ht="15" thickBot="1" x14ac:dyDescent="0.4">
      <c r="B7" s="286" t="s">
        <v>305</v>
      </c>
      <c r="C7" s="288">
        <f>'Take Off Sheet'!H98</f>
        <v>0</v>
      </c>
      <c r="D7" s="288">
        <f>DSUM(RAW_DATA,'Data Base'!$I$4,'Data For Calcs'!$H$13:$I$14)</f>
        <v>575725.10397350998</v>
      </c>
      <c r="E7" s="131"/>
      <c r="G7" s="393" t="s">
        <v>465</v>
      </c>
      <c r="H7" s="296">
        <f>'Take Off Sheet'!K5</f>
        <v>0</v>
      </c>
      <c r="K7" s="123"/>
      <c r="L7" s="122"/>
      <c r="M7" s="250"/>
    </row>
    <row r="8" spans="1:13" ht="15" thickBot="1" x14ac:dyDescent="0.4">
      <c r="B8" s="286" t="s">
        <v>361</v>
      </c>
      <c r="C8" s="288">
        <f>'Take Off Sheet'!H114</f>
        <v>0</v>
      </c>
      <c r="D8" s="288">
        <f>DSUM(RAW_DATA,'Data Base'!$I$4,'Data For Calcs'!$J$13:$K$14)</f>
        <v>604687.09867549676</v>
      </c>
      <c r="E8" s="131"/>
      <c r="F8" s="51"/>
      <c r="G8" s="341" t="s">
        <v>258</v>
      </c>
      <c r="H8" s="296">
        <f>'Take Off Sheet'!$K$7</f>
        <v>292460</v>
      </c>
      <c r="K8" s="123"/>
      <c r="L8" s="122"/>
      <c r="M8" s="250"/>
    </row>
    <row r="9" spans="1:13" ht="15" thickBot="1" x14ac:dyDescent="0.4">
      <c r="B9" s="286" t="s">
        <v>397</v>
      </c>
      <c r="C9" s="288">
        <f>'Take Off Sheet'!H130</f>
        <v>0</v>
      </c>
      <c r="D9" s="288">
        <f>DSUM(RAW_DATA,'Data Base'!$I$4,'Data For Calcs'!$L$13:$M$14)</f>
        <v>373736.66225165559</v>
      </c>
      <c r="E9" s="131"/>
      <c r="F9" s="51"/>
      <c r="G9" s="277"/>
      <c r="H9" s="369"/>
      <c r="K9" s="123"/>
      <c r="L9" s="122"/>
      <c r="M9" s="250"/>
    </row>
    <row r="10" spans="1:13" ht="15" thickBot="1" x14ac:dyDescent="0.4">
      <c r="B10" s="286" t="s">
        <v>398</v>
      </c>
      <c r="C10" s="288" t="s">
        <v>376</v>
      </c>
      <c r="D10" s="288">
        <f>DSUM(RAW_DATA,'Data Base'!$I$4,'Data For Calcs'!$N$13:$O$14)</f>
        <v>0</v>
      </c>
      <c r="E10" s="131"/>
      <c r="F10" s="51"/>
      <c r="G10" s="114" t="s">
        <v>186</v>
      </c>
      <c r="H10" s="296">
        <f>'Take Off Sheet'!$M$8</f>
        <v>0</v>
      </c>
      <c r="K10" s="123"/>
      <c r="L10" s="122"/>
      <c r="M10" s="250"/>
    </row>
    <row r="11" spans="1:13" ht="15" thickBot="1" x14ac:dyDescent="0.4">
      <c r="B11" s="286" t="s">
        <v>399</v>
      </c>
      <c r="C11" s="288" t="s">
        <v>376</v>
      </c>
      <c r="D11" s="288">
        <f>DSUM(RAW_DATA,'Data Base'!$I$4,'Data For Calcs'!$P$13:$Q$14)</f>
        <v>0</v>
      </c>
      <c r="E11" s="131"/>
      <c r="F11" s="51"/>
      <c r="G11" s="274" t="s">
        <v>380</v>
      </c>
      <c r="H11" s="296">
        <f>'Take Off Sheet'!M9</f>
        <v>0</v>
      </c>
      <c r="K11" s="123"/>
      <c r="L11" s="122"/>
      <c r="M11" s="250"/>
    </row>
    <row r="12" spans="1:13" ht="15" thickBot="1" x14ac:dyDescent="0.4">
      <c r="B12" s="286" t="s">
        <v>306</v>
      </c>
      <c r="C12" s="288">
        <f>'Take Off Sheet'!H26</f>
        <v>3430.3708609271521</v>
      </c>
      <c r="D12" s="288">
        <f>DSUM(RAW_DATA,'Data Base'!$I$4,'Data For Calcs'!$H$11:$I$12)</f>
        <v>113342.4370860927</v>
      </c>
      <c r="G12" s="278"/>
      <c r="H12" s="297"/>
      <c r="K12" s="123"/>
      <c r="L12" s="122"/>
      <c r="M12" s="250"/>
    </row>
    <row r="13" spans="1:13" ht="15" thickBot="1" x14ac:dyDescent="0.4">
      <c r="B13" s="286" t="s">
        <v>307</v>
      </c>
      <c r="C13" s="288">
        <f>'Take Off Sheet'!H40</f>
        <v>0</v>
      </c>
      <c r="D13" s="288">
        <f>DSUM(RAW_DATA,'Data Base'!$I$4,'Data For Calcs'!$J$11:$K$12)</f>
        <v>40258.973509933785</v>
      </c>
      <c r="E13" s="368"/>
      <c r="G13" s="114" t="s">
        <v>128</v>
      </c>
      <c r="H13" s="298">
        <f>'Take Off Sheet'!$M$11</f>
        <v>0</v>
      </c>
      <c r="K13" s="123"/>
      <c r="L13" s="122"/>
      <c r="M13" s="250"/>
    </row>
    <row r="14" spans="1:13" ht="14.5" x14ac:dyDescent="0.35">
      <c r="B14" s="287" t="s">
        <v>308</v>
      </c>
      <c r="C14" s="288">
        <f>'Take Off Sheet'!H54</f>
        <v>0</v>
      </c>
      <c r="D14" s="288">
        <f>DSUM(RAW_DATA,'Data Base'!$I$4,'Data For Calcs'!$L$11:$M$12)</f>
        <v>33074.075812103139</v>
      </c>
      <c r="G14" s="25"/>
      <c r="K14" s="123"/>
      <c r="L14" s="122"/>
      <c r="M14" s="250"/>
    </row>
    <row r="15" spans="1:13" ht="14.5" x14ac:dyDescent="0.35">
      <c r="B15" s="287" t="s">
        <v>309</v>
      </c>
      <c r="C15" s="288">
        <f>'Take Off Sheet'!H68</f>
        <v>0</v>
      </c>
      <c r="D15" s="288">
        <f>DSUM(RAW_DATA,'Data Base'!$I$4,'Data For Calcs'!$N$11:$O$12)</f>
        <v>172779.8051192053</v>
      </c>
      <c r="G15" s="25"/>
      <c r="M15" s="250"/>
    </row>
    <row r="16" spans="1:13" ht="15" thickBot="1" x14ac:dyDescent="0.4">
      <c r="B16" s="347" t="s">
        <v>310</v>
      </c>
      <c r="C16" s="348">
        <f>'Take Off Sheet'!H82</f>
        <v>0</v>
      </c>
      <c r="D16" s="288">
        <v>14053</v>
      </c>
      <c r="G16" s="25"/>
      <c r="K16" s="123"/>
      <c r="L16" s="122"/>
      <c r="M16" s="250"/>
    </row>
    <row r="17" spans="1:13" ht="15" thickBot="1" x14ac:dyDescent="0.4">
      <c r="B17" s="276" t="s">
        <v>66</v>
      </c>
      <c r="C17" s="289">
        <f>SUM(C7:C16)</f>
        <v>3430.3708609271521</v>
      </c>
      <c r="D17" s="290">
        <f>SUM(D7:D16)</f>
        <v>1927657.1564279972</v>
      </c>
      <c r="E17" s="51"/>
      <c r="F17" s="51"/>
      <c r="G17" s="278"/>
      <c r="H17" s="279"/>
      <c r="K17" s="123"/>
      <c r="L17" s="122"/>
      <c r="M17" s="250"/>
    </row>
    <row r="18" spans="1:13" ht="14.5" x14ac:dyDescent="0.35">
      <c r="B18" s="108"/>
      <c r="C18" s="85"/>
      <c r="D18" s="85"/>
      <c r="E18" s="51"/>
      <c r="F18" s="51"/>
      <c r="H18" s="363"/>
      <c r="K18" s="123"/>
      <c r="L18" s="122"/>
      <c r="M18" s="250"/>
    </row>
    <row r="19" spans="1:13" ht="14.5" x14ac:dyDescent="0.35">
      <c r="B19" s="365"/>
      <c r="C19" s="366"/>
      <c r="D19" s="366"/>
      <c r="E19" s="367"/>
      <c r="F19" s="367"/>
      <c r="G19" s="367"/>
      <c r="H19" s="364"/>
      <c r="K19" s="123"/>
      <c r="L19" s="122"/>
      <c r="M19" s="250"/>
    </row>
    <row r="20" spans="1:13" ht="14.5" x14ac:dyDescent="0.35">
      <c r="B20" s="365"/>
      <c r="C20" s="366"/>
      <c r="D20" s="367"/>
      <c r="E20" s="367"/>
      <c r="F20" s="367"/>
      <c r="G20" s="367"/>
      <c r="H20" s="364"/>
      <c r="K20" s="123"/>
      <c r="L20" s="122"/>
      <c r="M20" s="250"/>
    </row>
    <row r="21" spans="1:13" ht="18" x14ac:dyDescent="0.4">
      <c r="B21" s="108"/>
      <c r="C21" s="85"/>
      <c r="D21" s="85"/>
      <c r="G21" s="340"/>
      <c r="H21" s="340"/>
      <c r="K21" s="123"/>
      <c r="L21" s="122"/>
      <c r="M21" s="250"/>
    </row>
    <row r="22" spans="1:13" ht="18" x14ac:dyDescent="0.4">
      <c r="B22" s="108"/>
      <c r="C22" s="85"/>
      <c r="D22" s="85"/>
      <c r="G22" s="344"/>
      <c r="H22" s="344"/>
      <c r="K22" s="123"/>
      <c r="L22" s="122"/>
      <c r="M22" s="250"/>
    </row>
    <row r="23" spans="1:13" ht="18" x14ac:dyDescent="0.4">
      <c r="B23" s="108"/>
      <c r="C23" s="85"/>
      <c r="D23" s="85"/>
      <c r="G23" s="332"/>
      <c r="H23" s="332"/>
      <c r="K23" s="123"/>
      <c r="L23" s="122"/>
      <c r="M23" s="250"/>
    </row>
    <row r="24" spans="1:13" ht="14.5" x14ac:dyDescent="0.35">
      <c r="B24" s="108"/>
      <c r="C24" s="85"/>
      <c r="D24" s="85"/>
      <c r="G24" s="256"/>
      <c r="H24" s="252"/>
      <c r="K24" s="123"/>
      <c r="L24" s="122"/>
      <c r="M24" s="250"/>
    </row>
    <row r="25" spans="1:13" ht="18" x14ac:dyDescent="0.4">
      <c r="B25" s="108"/>
      <c r="C25" s="85"/>
      <c r="D25" s="85"/>
      <c r="E25" s="85"/>
      <c r="I25" s="344"/>
      <c r="K25" s="123"/>
      <c r="L25" s="122"/>
      <c r="M25" s="122"/>
    </row>
    <row r="26" spans="1:13" ht="14.5" x14ac:dyDescent="0.35">
      <c r="E26" s="85"/>
      <c r="F26" s="51"/>
      <c r="G26" s="52"/>
      <c r="I26" s="252"/>
      <c r="K26" s="123"/>
      <c r="L26" s="122"/>
      <c r="M26" s="122"/>
    </row>
    <row r="27" spans="1:13" ht="15" customHeight="1" x14ac:dyDescent="0.4">
      <c r="A27" s="452" t="s">
        <v>18</v>
      </c>
      <c r="B27" s="452"/>
      <c r="C27" s="452"/>
      <c r="D27" s="452"/>
      <c r="E27" s="452"/>
      <c r="F27" s="452"/>
      <c r="G27" s="452"/>
      <c r="H27" s="452"/>
      <c r="I27" s="355"/>
      <c r="K27" s="251"/>
      <c r="L27" s="123"/>
      <c r="M27" s="122"/>
    </row>
    <row r="28" spans="1:13" ht="18" x14ac:dyDescent="0.4">
      <c r="B28" s="108"/>
      <c r="C28" s="85"/>
      <c r="D28" s="85"/>
      <c r="E28" s="344"/>
      <c r="F28" s="344"/>
      <c r="G28" s="52"/>
      <c r="K28" s="122"/>
      <c r="L28" s="122"/>
      <c r="M28" s="122"/>
    </row>
    <row r="29" spans="1:13" s="252" customFormat="1" ht="20" x14ac:dyDescent="0.4">
      <c r="B29" s="90"/>
      <c r="C29" s="85"/>
      <c r="D29" s="85"/>
      <c r="E29" s="255"/>
      <c r="F29" s="256"/>
      <c r="G29" s="52"/>
      <c r="H29" s="25"/>
      <c r="I29" s="25"/>
      <c r="K29" s="253"/>
      <c r="L29" s="122"/>
      <c r="M29" s="122"/>
    </row>
    <row r="30" spans="1:13" ht="7.15" customHeight="1" x14ac:dyDescent="0.4">
      <c r="B30" s="344"/>
      <c r="C30" s="344"/>
      <c r="D30" s="344"/>
      <c r="G30" s="52"/>
      <c r="K30" s="123"/>
      <c r="L30" s="122"/>
      <c r="M30" s="122"/>
    </row>
    <row r="31" spans="1:13" x14ac:dyDescent="0.3">
      <c r="B31" s="247"/>
      <c r="C31" s="247"/>
      <c r="D31" s="247"/>
      <c r="E31" s="27"/>
      <c r="F31" s="27"/>
      <c r="G31" s="52"/>
      <c r="K31" s="122"/>
      <c r="L31" s="122"/>
      <c r="M31" s="122"/>
    </row>
    <row r="32" spans="1:13" x14ac:dyDescent="0.3">
      <c r="B32" s="27"/>
      <c r="C32" s="27"/>
      <c r="D32" s="27"/>
      <c r="E32" s="27"/>
      <c r="F32" s="27"/>
      <c r="G32" s="52"/>
      <c r="K32" s="122"/>
      <c r="L32" s="122"/>
      <c r="M32" s="122"/>
    </row>
    <row r="33" spans="2:13" x14ac:dyDescent="0.3">
      <c r="B33" s="27"/>
      <c r="C33" s="27"/>
      <c r="D33" s="27"/>
      <c r="E33" s="27"/>
      <c r="F33" s="27"/>
      <c r="G33" s="52"/>
      <c r="K33" s="122"/>
      <c r="L33" s="122"/>
      <c r="M33" s="122"/>
    </row>
    <row r="34" spans="2:13" x14ac:dyDescent="0.3">
      <c r="B34" s="27"/>
      <c r="C34" s="27"/>
      <c r="D34" s="27"/>
      <c r="E34" s="27"/>
      <c r="F34" s="27"/>
      <c r="G34" s="52"/>
      <c r="K34" s="122"/>
      <c r="L34" s="122"/>
      <c r="M34" s="122"/>
    </row>
    <row r="35" spans="2:13" ht="14.5" x14ac:dyDescent="0.35">
      <c r="B35" s="27"/>
      <c r="C35" s="27"/>
      <c r="D35" s="27"/>
      <c r="E35" s="27"/>
      <c r="F35" s="27"/>
      <c r="G35" s="52"/>
      <c r="J35" s="33"/>
      <c r="K35" s="122"/>
      <c r="L35" s="122"/>
      <c r="M35" s="122"/>
    </row>
    <row r="36" spans="2:13" ht="14.5" x14ac:dyDescent="0.35">
      <c r="B36" s="27"/>
      <c r="C36" s="27"/>
      <c r="D36" s="27"/>
      <c r="E36" s="27"/>
      <c r="F36" s="27"/>
      <c r="G36" s="52"/>
      <c r="J36" s="33"/>
    </row>
    <row r="37" spans="2:13" ht="14.5" x14ac:dyDescent="0.35">
      <c r="B37" s="27"/>
      <c r="C37" s="27"/>
      <c r="D37" s="27"/>
      <c r="E37" s="27"/>
      <c r="F37" s="27"/>
      <c r="G37" s="52"/>
      <c r="J37" s="33"/>
    </row>
    <row r="38" spans="2:13" x14ac:dyDescent="0.3">
      <c r="B38" s="27"/>
      <c r="C38" s="27"/>
      <c r="D38" s="27"/>
      <c r="E38" s="27"/>
      <c r="F38" s="27"/>
      <c r="G38" s="52"/>
    </row>
    <row r="39" spans="2:13" x14ac:dyDescent="0.3">
      <c r="B39" s="27"/>
      <c r="C39" s="27"/>
      <c r="D39" s="27"/>
      <c r="E39" s="27"/>
      <c r="F39" s="27"/>
      <c r="G39" s="52"/>
    </row>
    <row r="40" spans="2:13" x14ac:dyDescent="0.3">
      <c r="B40" s="27"/>
      <c r="C40" s="27"/>
      <c r="D40" s="27"/>
      <c r="E40" s="27"/>
      <c r="F40" s="27"/>
      <c r="G40" s="52"/>
    </row>
    <row r="41" spans="2:13" x14ac:dyDescent="0.3">
      <c r="B41" s="27"/>
      <c r="C41" s="27"/>
      <c r="D41" s="27"/>
      <c r="E41" s="27"/>
      <c r="F41" s="27"/>
      <c r="G41" s="52"/>
    </row>
    <row r="42" spans="2:13" x14ac:dyDescent="0.3">
      <c r="B42" s="27"/>
      <c r="C42" s="27"/>
      <c r="D42" s="27"/>
      <c r="E42" s="27"/>
      <c r="F42" s="27"/>
      <c r="G42" s="52"/>
    </row>
    <row r="43" spans="2:13" x14ac:dyDescent="0.3">
      <c r="B43" s="27"/>
      <c r="C43" s="27"/>
      <c r="D43" s="27"/>
      <c r="E43" s="27"/>
      <c r="F43" s="27"/>
      <c r="G43" s="52"/>
    </row>
    <row r="44" spans="2:13" x14ac:dyDescent="0.3">
      <c r="B44" s="27"/>
      <c r="C44" s="27"/>
      <c r="D44" s="27"/>
      <c r="E44" s="27"/>
      <c r="F44" s="27"/>
      <c r="G44" s="52"/>
    </row>
    <row r="45" spans="2:13" x14ac:dyDescent="0.3">
      <c r="B45" s="27"/>
      <c r="C45" s="27"/>
      <c r="D45" s="27"/>
      <c r="E45" s="27"/>
      <c r="F45" s="27"/>
      <c r="G45" s="52"/>
    </row>
    <row r="46" spans="2:13" x14ac:dyDescent="0.3">
      <c r="B46" s="27"/>
      <c r="C46" s="27"/>
      <c r="D46" s="27"/>
      <c r="E46" s="27"/>
      <c r="F46" s="27"/>
      <c r="G46" s="52"/>
    </row>
    <row r="47" spans="2:13" x14ac:dyDescent="0.3">
      <c r="B47" s="27"/>
      <c r="C47" s="27"/>
      <c r="D47" s="27"/>
      <c r="E47" s="27"/>
      <c r="F47" s="27"/>
      <c r="G47" s="52"/>
    </row>
    <row r="48" spans="2:13" x14ac:dyDescent="0.3">
      <c r="B48" s="27"/>
      <c r="C48" s="27"/>
      <c r="D48" s="27"/>
      <c r="E48" s="27"/>
      <c r="F48" s="27"/>
    </row>
    <row r="49" spans="2:6" x14ac:dyDescent="0.3">
      <c r="B49" s="27"/>
      <c r="C49" s="27"/>
      <c r="D49" s="27"/>
      <c r="E49" s="27"/>
      <c r="F49" s="27"/>
    </row>
    <row r="50" spans="2:6" x14ac:dyDescent="0.3">
      <c r="B50" s="27"/>
      <c r="C50" s="27"/>
      <c r="D50" s="27"/>
      <c r="E50" s="27"/>
      <c r="F50" s="27"/>
    </row>
    <row r="51" spans="2:6" x14ac:dyDescent="0.3">
      <c r="B51" s="27"/>
      <c r="C51" s="27"/>
      <c r="D51" s="27"/>
      <c r="E51" s="27"/>
      <c r="F51" s="27"/>
    </row>
    <row r="52" spans="2:6" x14ac:dyDescent="0.3">
      <c r="B52" s="27"/>
      <c r="C52" s="27"/>
      <c r="D52" s="27"/>
      <c r="E52" s="27"/>
      <c r="F52" s="27"/>
    </row>
    <row r="53" spans="2:6" x14ac:dyDescent="0.3">
      <c r="B53" s="27"/>
      <c r="C53" s="27"/>
      <c r="D53" s="27"/>
    </row>
  </sheetData>
  <sheetProtection formatCells="0" formatColumns="0" formatRows="0"/>
  <mergeCells count="7">
    <mergeCell ref="A27:H27"/>
    <mergeCell ref="A1:I1"/>
    <mergeCell ref="A2:I2"/>
    <mergeCell ref="B5:B6"/>
    <mergeCell ref="C5:C6"/>
    <mergeCell ref="D5:D6"/>
    <mergeCell ref="A3:I3"/>
  </mergeCells>
  <printOptions horizontalCentered="1"/>
  <pageMargins left="0.7" right="0.7" top="0.45" bottom="0.28000000000000003" header="0.25" footer="0.2"/>
  <pageSetup scale="75" orientation="portrait" r:id="rId1"/>
  <headerFooter differentFirst="1">
    <oddFooter>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J29"/>
  <sheetViews>
    <sheetView view="pageLayout" zoomScaleNormal="100" workbookViewId="0">
      <selection activeCell="I45" sqref="I45"/>
    </sheetView>
  </sheetViews>
  <sheetFormatPr defaultRowHeight="14.5" x14ac:dyDescent="0.35"/>
  <cols>
    <col min="1" max="1" width="9.26953125" customWidth="1"/>
  </cols>
  <sheetData>
    <row r="1" spans="1:10" ht="21" x14ac:dyDescent="0.5">
      <c r="A1" s="461" t="s">
        <v>114</v>
      </c>
      <c r="B1" s="461"/>
      <c r="C1" s="461"/>
      <c r="D1" s="461"/>
      <c r="E1" s="461"/>
      <c r="F1" s="461"/>
      <c r="G1" s="461"/>
      <c r="H1" s="461"/>
      <c r="I1" s="461"/>
      <c r="J1" s="189"/>
    </row>
    <row r="2" spans="1:10" ht="17.5" x14ac:dyDescent="0.35">
      <c r="A2" s="449">
        <f>'Take Off Sheet'!A10</f>
        <v>44013</v>
      </c>
      <c r="B2" s="449"/>
      <c r="C2" s="449"/>
      <c r="D2" s="449"/>
      <c r="E2" s="449"/>
      <c r="F2" s="449"/>
      <c r="G2" s="449"/>
      <c r="H2" s="449"/>
      <c r="I2" s="449"/>
      <c r="J2" s="190"/>
    </row>
    <row r="3" spans="1:10" s="49" customFormat="1" ht="18.75" customHeight="1" x14ac:dyDescent="0.35">
      <c r="A3" s="460"/>
      <c r="B3" s="460"/>
      <c r="C3" s="460"/>
      <c r="D3" s="460"/>
      <c r="E3" s="460"/>
      <c r="F3" s="460"/>
      <c r="G3" s="460"/>
      <c r="H3" s="460"/>
      <c r="I3" s="460"/>
      <c r="J3" s="89"/>
    </row>
    <row r="5" spans="1:10" x14ac:dyDescent="0.35">
      <c r="B5" s="30" t="s">
        <v>21</v>
      </c>
      <c r="C5" s="29"/>
      <c r="D5" s="233" t="s">
        <v>75</v>
      </c>
      <c r="E5" s="29"/>
      <c r="F5" s="236" t="s">
        <v>19</v>
      </c>
      <c r="G5" s="29"/>
      <c r="H5" s="30" t="s">
        <v>20</v>
      </c>
    </row>
    <row r="6" spans="1:10" x14ac:dyDescent="0.35">
      <c r="B6" s="388">
        <v>969500</v>
      </c>
      <c r="C6" s="389"/>
      <c r="D6" s="234">
        <f>DSUM(RAW_DATA,'Data Base'!$I$4,'Data For Calcs'!$W$13:$Y$14)</f>
        <v>0</v>
      </c>
      <c r="E6" s="48"/>
      <c r="F6" s="237">
        <f>DSUM(RAW_DATA,'Data Base'!$I$4,'Data For Calcs'!$W$6:$Y$7)</f>
        <v>0</v>
      </c>
      <c r="G6" s="49"/>
      <c r="H6" s="243">
        <f>'Tons By Miner'!$C$7</f>
        <v>0</v>
      </c>
    </row>
    <row r="7" spans="1:10" x14ac:dyDescent="0.35">
      <c r="A7" s="49"/>
      <c r="B7" s="108">
        <v>969501</v>
      </c>
      <c r="C7" s="31"/>
      <c r="D7" s="235">
        <f>DSUM(RAW_DATA,'Data Base'!$I$4,'Data For Calcs'!$Z$13:$AB$14)</f>
        <v>0</v>
      </c>
      <c r="E7" s="193"/>
      <c r="F7" s="238">
        <f>DSUM(RAW_DATA,'Data Base'!$I$4,'Data For Calcs'!$Z$6:$AB$7)</f>
        <v>0</v>
      </c>
      <c r="G7" s="192"/>
      <c r="H7" s="193">
        <f>'Tons By Miner'!$C$8</f>
        <v>0</v>
      </c>
    </row>
    <row r="8" spans="1:10" x14ac:dyDescent="0.35">
      <c r="B8" s="191">
        <v>969502</v>
      </c>
      <c r="C8" s="192"/>
      <c r="D8" s="235">
        <f>DSUM(RAW_DATA,'Data Base'!$I$4,'Data For Calcs'!$AC$13:$AE$14)</f>
        <v>0</v>
      </c>
      <c r="E8" s="193"/>
      <c r="F8" s="238">
        <f>DSUM(RAW_DATA,'Data Base'!$I$4,'Data For Calcs'!$AC$6:$AE$7)</f>
        <v>0</v>
      </c>
      <c r="G8" s="192"/>
      <c r="H8" s="193">
        <f>'Tons By Miner'!$C$9</f>
        <v>0</v>
      </c>
    </row>
    <row r="9" spans="1:10" s="49" customFormat="1" x14ac:dyDescent="0.35">
      <c r="A9"/>
      <c r="B9" s="191">
        <v>969503</v>
      </c>
      <c r="C9" s="192"/>
      <c r="D9" s="235">
        <f>DSUM(RAW_DATA,'Data Base'!$I$4,'Data For Calcs'!$AF$13:$AH$14)</f>
        <v>0</v>
      </c>
      <c r="E9" s="193"/>
      <c r="F9" s="238">
        <f>DSUM(RAW_DATA,'Data Base'!$I$4,'Data For Calcs'!$AF$6:$AH$7)</f>
        <v>0</v>
      </c>
      <c r="G9" s="192"/>
      <c r="H9" s="193" t="str">
        <f>'Tons By Miner'!$C$10</f>
        <v>not online</v>
      </c>
    </row>
    <row r="10" spans="1:10" s="49" customFormat="1" x14ac:dyDescent="0.35">
      <c r="B10" s="191">
        <v>969504</v>
      </c>
      <c r="C10" s="192"/>
      <c r="D10" s="235">
        <f>DSUM(RAW_DATA,'Data Base'!$I$4,'Data For Calcs'!$AI$13:$AK$14)</f>
        <v>0</v>
      </c>
      <c r="E10" s="193"/>
      <c r="F10" s="238">
        <f>DSUM(RAW_DATA,'Data Base'!$I$4,'Data For Calcs'!$AI$6:$AK$7)</f>
        <v>0</v>
      </c>
      <c r="G10" s="192"/>
      <c r="H10" s="193" t="str">
        <f>'Tons By Miner'!$C$11</f>
        <v>not online</v>
      </c>
    </row>
    <row r="11" spans="1:10" s="49" customFormat="1" x14ac:dyDescent="0.35">
      <c r="B11" s="384">
        <v>968900</v>
      </c>
      <c r="C11" s="385"/>
      <c r="D11" s="386">
        <f>DSUM(RAW_DATA,'Data Base'!$I$4,'Data For Calcs'!$W$11:$Y$12)</f>
        <v>0</v>
      </c>
      <c r="E11" s="243"/>
      <c r="F11" s="387">
        <f>DSUM(RAW_DATA,'Data Base'!$I$4,'Data For Calcs'!$W$4:$Y$5)</f>
        <v>0</v>
      </c>
      <c r="G11" s="385"/>
      <c r="H11" s="243">
        <f>'Tons By Miner'!$C$12</f>
        <v>3430.3708609271521</v>
      </c>
    </row>
    <row r="12" spans="1:10" s="49" customFormat="1" x14ac:dyDescent="0.35">
      <c r="B12" s="191">
        <v>968901</v>
      </c>
      <c r="C12" s="192"/>
      <c r="D12" s="235">
        <f>DSUM(RAW_DATA,'Data Base'!$I$4,'Data For Calcs'!$Z$11:$AB$12)</f>
        <v>0</v>
      </c>
      <c r="E12" s="193"/>
      <c r="F12" s="238">
        <f>DSUM(RAW_DATA,'Data Base'!$I$4,'Data For Calcs'!$Z$4:$AB$5)</f>
        <v>0</v>
      </c>
      <c r="G12" s="192"/>
      <c r="H12" s="193">
        <f>'Tons By Miner'!$C$13</f>
        <v>0</v>
      </c>
    </row>
    <row r="13" spans="1:10" s="49" customFormat="1" x14ac:dyDescent="0.35">
      <c r="B13" s="191">
        <v>968903</v>
      </c>
      <c r="C13" s="192"/>
      <c r="D13" s="235">
        <f>DSUM(RAW_DATA,'Data Base'!$I$4,'Data For Calcs'!$AC$11:$AE$12)</f>
        <v>0</v>
      </c>
      <c r="E13" s="193"/>
      <c r="F13" s="238">
        <f>DSUM(RAW_DATA,'Data Base'!$I$4,'Data For Calcs'!$AC$4:$AE$5)</f>
        <v>0</v>
      </c>
      <c r="G13" s="192"/>
      <c r="H13" s="193">
        <f>'Tons By Miner'!$C$14</f>
        <v>0</v>
      </c>
    </row>
    <row r="14" spans="1:10" s="49" customFormat="1" x14ac:dyDescent="0.35">
      <c r="B14" s="191">
        <v>968904</v>
      </c>
      <c r="C14" s="192"/>
      <c r="D14" s="235">
        <f>DSUM(RAW_DATA,'Data Base'!$I$4,'Data For Calcs'!$AF$11:$AH$12)</f>
        <v>0</v>
      </c>
      <c r="E14" s="193"/>
      <c r="F14" s="238">
        <f>DSUM(RAW_DATA,'Data Base'!$I$4,'Data For Calcs'!$AF$4:$AH$5)</f>
        <v>0</v>
      </c>
      <c r="G14" s="192"/>
      <c r="H14" s="193">
        <f>'Tons By Miner'!$C$15</f>
        <v>0</v>
      </c>
    </row>
    <row r="15" spans="1:10" s="49" customFormat="1" x14ac:dyDescent="0.35">
      <c r="B15" s="191" t="s">
        <v>310</v>
      </c>
      <c r="C15" s="192"/>
      <c r="D15" s="235">
        <f>DSUM(RAW_DATA,'Data Base'!$I$4,'Data For Calcs'!$AL$11:$AN$12)</f>
        <v>0</v>
      </c>
      <c r="E15" s="193"/>
      <c r="F15" s="238">
        <f>'Tons By Miner'!C16</f>
        <v>0</v>
      </c>
      <c r="G15" s="192"/>
      <c r="H15" s="193">
        <f>'Tons By Miner'!$C$16</f>
        <v>0</v>
      </c>
    </row>
    <row r="16" spans="1:10" x14ac:dyDescent="0.35">
      <c r="A16" s="49"/>
      <c r="B16" s="191" t="s">
        <v>83</v>
      </c>
      <c r="C16" s="192"/>
      <c r="D16" s="280">
        <f>SUM(D6:D15)</f>
        <v>0</v>
      </c>
      <c r="E16" s="281"/>
      <c r="F16" s="282">
        <f>SUM(F6:F15)</f>
        <v>0</v>
      </c>
      <c r="G16" s="281"/>
      <c r="H16" s="281">
        <f>SUM(H6:H15)</f>
        <v>3430.3708609271521</v>
      </c>
    </row>
    <row r="17" spans="1:8" x14ac:dyDescent="0.35">
      <c r="B17" s="93" t="s">
        <v>102</v>
      </c>
      <c r="C17" s="31"/>
      <c r="D17" s="239">
        <f>D16/H16</f>
        <v>0</v>
      </c>
      <c r="E17" s="31"/>
      <c r="F17" s="240">
        <f>F16/H16</f>
        <v>0</v>
      </c>
      <c r="G17" s="241"/>
      <c r="H17" s="242">
        <f>SUM(D17+F17)</f>
        <v>0</v>
      </c>
    </row>
    <row r="18" spans="1:8" x14ac:dyDescent="0.35">
      <c r="B18" s="26"/>
    </row>
    <row r="19" spans="1:8" s="28" customFormat="1" x14ac:dyDescent="0.35">
      <c r="A19"/>
      <c r="B19"/>
      <c r="C19"/>
      <c r="D19"/>
      <c r="E19"/>
      <c r="F19"/>
      <c r="G19"/>
      <c r="H19"/>
    </row>
    <row r="20" spans="1:8" x14ac:dyDescent="0.35">
      <c r="A20" s="28"/>
    </row>
    <row r="27" spans="1:8" s="49" customFormat="1" x14ac:dyDescent="0.35">
      <c r="A27"/>
      <c r="B27"/>
      <c r="C27"/>
      <c r="D27"/>
      <c r="E27"/>
      <c r="F27"/>
      <c r="G27"/>
      <c r="H27"/>
    </row>
    <row r="28" spans="1:8" s="49" customFormat="1" x14ac:dyDescent="0.35">
      <c r="B28"/>
      <c r="C28"/>
      <c r="D28"/>
      <c r="E28"/>
      <c r="F28"/>
      <c r="G28"/>
      <c r="H28"/>
    </row>
    <row r="29" spans="1:8" x14ac:dyDescent="0.35">
      <c r="A29" s="49"/>
    </row>
  </sheetData>
  <sheetProtection sheet="1" formatCells="0" formatColumns="0" formatRows="0"/>
  <mergeCells count="3">
    <mergeCell ref="A1:I1"/>
    <mergeCell ref="A2:I2"/>
    <mergeCell ref="A3:I3"/>
  </mergeCells>
  <conditionalFormatting sqref="H14 H11">
    <cfRule type="cellIs" dxfId="26" priority="10" operator="notEqual">
      <formula>D11+F11</formula>
    </cfRule>
  </conditionalFormatting>
  <conditionalFormatting sqref="H12">
    <cfRule type="cellIs" dxfId="25" priority="8" operator="notEqual">
      <formula>D12+F12</formula>
    </cfRule>
  </conditionalFormatting>
  <conditionalFormatting sqref="H13">
    <cfRule type="cellIs" dxfId="24" priority="7" operator="notEqual">
      <formula>D13+F13</formula>
    </cfRule>
  </conditionalFormatting>
  <conditionalFormatting sqref="H6">
    <cfRule type="cellIs" dxfId="23" priority="6" operator="notEqual">
      <formula>D6+F6</formula>
    </cfRule>
  </conditionalFormatting>
  <conditionalFormatting sqref="H7">
    <cfRule type="cellIs" dxfId="22" priority="5" operator="notEqual">
      <formula>D7+F7</formula>
    </cfRule>
  </conditionalFormatting>
  <conditionalFormatting sqref="H8">
    <cfRule type="cellIs" dxfId="21" priority="4" operator="notEqual">
      <formula>D8+F8</formula>
    </cfRule>
  </conditionalFormatting>
  <conditionalFormatting sqref="H9">
    <cfRule type="cellIs" dxfId="20" priority="3" operator="notEqual">
      <formula>D9+F9</formula>
    </cfRule>
  </conditionalFormatting>
  <conditionalFormatting sqref="H10">
    <cfRule type="cellIs" dxfId="19" priority="2" operator="notEqual">
      <formula>D10+F10</formula>
    </cfRule>
  </conditionalFormatting>
  <conditionalFormatting sqref="H15">
    <cfRule type="cellIs" dxfId="18" priority="1" operator="notEqual">
      <formula>D15+F15</formula>
    </cfRule>
  </conditionalFormatting>
  <printOptions horizontalCentered="1"/>
  <pageMargins left="0.7" right="0.7" top="0.45" bottom="0.28000000000000003" header="0.25" footer="0.2"/>
  <pageSetup orientation="portrait" r:id="rId1"/>
  <headerFooter differentFirst="1">
    <oddFoote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L28"/>
  <sheetViews>
    <sheetView zoomScaleNormal="100" workbookViewId="0">
      <selection activeCell="K28" sqref="K28"/>
    </sheetView>
  </sheetViews>
  <sheetFormatPr defaultRowHeight="14.5" x14ac:dyDescent="0.35"/>
  <cols>
    <col min="1" max="1" width="14.7265625" customWidth="1"/>
    <col min="2" max="2" width="40.54296875" style="50" bestFit="1" customWidth="1"/>
    <col min="3" max="3" width="18.26953125" style="50" customWidth="1"/>
    <col min="4" max="4" width="14.26953125" style="50" customWidth="1"/>
    <col min="5" max="5" width="2.7265625" customWidth="1"/>
    <col min="6" max="6" width="10.54296875" style="50" bestFit="1" customWidth="1"/>
    <col min="7" max="7" width="11.7265625" style="50" bestFit="1" customWidth="1"/>
    <col min="9" max="9" width="11.1796875" customWidth="1"/>
    <col min="10" max="10" width="11.7265625" bestFit="1" customWidth="1"/>
  </cols>
  <sheetData>
    <row r="1" spans="1:9" ht="20" x14ac:dyDescent="0.4">
      <c r="A1" s="453" t="s">
        <v>115</v>
      </c>
      <c r="B1" s="453"/>
      <c r="C1" s="453"/>
      <c r="D1" s="453"/>
      <c r="E1" s="143"/>
      <c r="F1" s="143"/>
      <c r="G1" s="143"/>
    </row>
    <row r="2" spans="1:9" ht="17.5" x14ac:dyDescent="0.35">
      <c r="A2" s="449">
        <f>'Take Off Sheet'!$A$10</f>
        <v>44013</v>
      </c>
      <c r="B2" s="449"/>
      <c r="C2" s="449"/>
      <c r="D2" s="449"/>
      <c r="E2" s="190"/>
      <c r="F2" s="190"/>
    </row>
    <row r="3" spans="1:9" x14ac:dyDescent="0.35">
      <c r="A3" s="451"/>
      <c r="B3" s="451"/>
      <c r="C3" s="451"/>
      <c r="D3" s="451"/>
      <c r="E3" s="49"/>
    </row>
    <row r="4" spans="1:9" x14ac:dyDescent="0.35">
      <c r="A4" s="31"/>
      <c r="B4" s="463"/>
      <c r="C4" s="463"/>
      <c r="D4" s="284"/>
      <c r="E4" s="49"/>
    </row>
    <row r="5" spans="1:9" ht="23" x14ac:dyDescent="0.6">
      <c r="C5" s="49"/>
      <c r="D5" s="132"/>
      <c r="E5" s="50"/>
      <c r="F5"/>
      <c r="G5"/>
    </row>
    <row r="6" spans="1:9" ht="15" thickBot="1" x14ac:dyDescent="0.4">
      <c r="C6" s="49"/>
      <c r="E6" s="142"/>
      <c r="F6"/>
      <c r="G6"/>
    </row>
    <row r="7" spans="1:9" ht="15" thickBot="1" x14ac:dyDescent="0.4">
      <c r="B7" s="31"/>
      <c r="C7" s="285" t="s">
        <v>129</v>
      </c>
      <c r="E7" s="50"/>
      <c r="F7"/>
      <c r="G7"/>
    </row>
    <row r="8" spans="1:9" s="49" customFormat="1" x14ac:dyDescent="0.35">
      <c r="B8" s="396" t="s">
        <v>400</v>
      </c>
      <c r="C8" s="397">
        <f>'Take Off Sheet'!$M$8</f>
        <v>0</v>
      </c>
      <c r="D8" s="50"/>
      <c r="E8" s="50"/>
    </row>
    <row r="9" spans="1:9" ht="15" thickBot="1" x14ac:dyDescent="0.4">
      <c r="B9" s="394" t="s">
        <v>205</v>
      </c>
      <c r="C9" s="395">
        <f>'Take Off Sheet'!$M$9</f>
        <v>0</v>
      </c>
      <c r="E9" s="50"/>
      <c r="F9"/>
      <c r="G9"/>
    </row>
    <row r="10" spans="1:9" ht="15.5" thickTop="1" thickBot="1" x14ac:dyDescent="0.4">
      <c r="B10" s="86" t="s">
        <v>493</v>
      </c>
      <c r="C10" s="392">
        <f>SUM(C8:C9)</f>
        <v>0</v>
      </c>
      <c r="E10" s="49"/>
    </row>
    <row r="11" spans="1:9" x14ac:dyDescent="0.35">
      <c r="A11" s="31"/>
      <c r="B11" s="80"/>
      <c r="C11" s="80"/>
      <c r="D11" s="80"/>
    </row>
    <row r="12" spans="1:9" x14ac:dyDescent="0.35">
      <c r="A12" s="31"/>
      <c r="B12" s="41"/>
      <c r="C12" s="41"/>
      <c r="D12" s="80"/>
      <c r="E12" s="88"/>
      <c r="F12" s="87"/>
      <c r="G12" s="87"/>
      <c r="H12" s="49"/>
      <c r="I12" s="49"/>
    </row>
    <row r="13" spans="1:9" x14ac:dyDescent="0.35">
      <c r="A13" s="31"/>
      <c r="B13" s="41"/>
      <c r="C13" s="41"/>
      <c r="D13" s="41"/>
      <c r="E13" s="88"/>
      <c r="F13" s="87"/>
      <c r="G13" s="87"/>
      <c r="I13" s="49"/>
    </row>
    <row r="14" spans="1:9" ht="20" x14ac:dyDescent="0.4">
      <c r="A14" s="31"/>
      <c r="B14" s="273"/>
      <c r="C14" s="273"/>
      <c r="D14" s="41"/>
      <c r="E14" s="88"/>
      <c r="F14" s="41"/>
      <c r="G14" s="41"/>
    </row>
    <row r="15" spans="1:9" ht="20" x14ac:dyDescent="0.4">
      <c r="A15" s="462" t="s">
        <v>67</v>
      </c>
      <c r="B15" s="462"/>
      <c r="C15" s="462"/>
      <c r="D15" s="462"/>
      <c r="E15" s="107"/>
      <c r="F15" s="107"/>
      <c r="G15" s="107"/>
    </row>
    <row r="16" spans="1:9" x14ac:dyDescent="0.35">
      <c r="E16" s="31"/>
    </row>
    <row r="19" spans="4:12" x14ac:dyDescent="0.35">
      <c r="H19" s="49"/>
      <c r="I19" s="49"/>
    </row>
    <row r="20" spans="4:12" x14ac:dyDescent="0.35">
      <c r="H20" s="49"/>
      <c r="I20" s="49"/>
    </row>
    <row r="21" spans="4:12" x14ac:dyDescent="0.35">
      <c r="H21" s="49"/>
      <c r="I21" s="49"/>
    </row>
    <row r="22" spans="4:12" x14ac:dyDescent="0.35">
      <c r="H22" s="49"/>
      <c r="I22" s="49"/>
    </row>
    <row r="24" spans="4:12" x14ac:dyDescent="0.35">
      <c r="H24" s="88"/>
      <c r="I24" s="31"/>
      <c r="J24" s="31"/>
      <c r="K24" s="31"/>
      <c r="L24" s="31"/>
    </row>
    <row r="25" spans="4:12" x14ac:dyDescent="0.35">
      <c r="H25" s="88"/>
      <c r="I25" s="31"/>
      <c r="J25" s="31"/>
      <c r="K25" s="31"/>
      <c r="L25" s="31"/>
    </row>
    <row r="26" spans="4:12" x14ac:dyDescent="0.35">
      <c r="H26" s="88"/>
      <c r="I26" s="31"/>
      <c r="J26" s="31"/>
      <c r="K26" s="31"/>
      <c r="L26" s="31"/>
    </row>
    <row r="27" spans="4:12" x14ac:dyDescent="0.35">
      <c r="H27" s="88"/>
      <c r="I27" s="31"/>
      <c r="J27" s="31"/>
      <c r="K27" s="31"/>
      <c r="L27" s="31"/>
    </row>
    <row r="28" spans="4:12" x14ac:dyDescent="0.35">
      <c r="D28" s="50" t="s">
        <v>13</v>
      </c>
      <c r="H28" s="31"/>
      <c r="I28" s="31"/>
      <c r="J28" s="31"/>
      <c r="K28" s="31"/>
      <c r="L28" s="31"/>
    </row>
  </sheetData>
  <sheetProtection formatCells="0" formatColumns="0" formatRows="0"/>
  <mergeCells count="5">
    <mergeCell ref="A15:D15"/>
    <mergeCell ref="A1:D1"/>
    <mergeCell ref="A2:D2"/>
    <mergeCell ref="B4:C4"/>
    <mergeCell ref="A3:D3"/>
  </mergeCells>
  <pageMargins left="0.7" right="0.7" top="0.75" bottom="0.75" header="0.3" footer="0.3"/>
  <pageSetup scale="98"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V41"/>
  <sheetViews>
    <sheetView showWhiteSpace="0" view="pageLayout" zoomScaleNormal="100" workbookViewId="0">
      <selection activeCell="I45" sqref="I45"/>
    </sheetView>
  </sheetViews>
  <sheetFormatPr defaultRowHeight="14.5" x14ac:dyDescent="0.35"/>
  <cols>
    <col min="2" max="2" width="6.453125" customWidth="1"/>
    <col min="3" max="3" width="4.81640625" customWidth="1"/>
    <col min="4" max="15" width="10.26953125" customWidth="1"/>
  </cols>
  <sheetData>
    <row r="1" spans="1:16" ht="31" x14ac:dyDescent="0.7">
      <c r="A1" s="205" t="s">
        <v>116</v>
      </c>
      <c r="B1" s="205"/>
      <c r="C1" s="205"/>
      <c r="D1" s="206"/>
      <c r="E1" s="206"/>
      <c r="F1" s="206"/>
      <c r="G1" s="206"/>
      <c r="H1" s="206"/>
      <c r="I1" s="206"/>
      <c r="J1" s="206"/>
      <c r="K1" s="206"/>
      <c r="L1" s="206"/>
      <c r="M1" s="206"/>
      <c r="N1" s="206"/>
      <c r="O1" s="207">
        <v>2020</v>
      </c>
    </row>
    <row r="2" spans="1:16" x14ac:dyDescent="0.35">
      <c r="A2" s="49"/>
      <c r="B2" s="49"/>
      <c r="C2" s="49"/>
      <c r="D2" s="50"/>
      <c r="E2" s="50"/>
      <c r="F2" s="50"/>
      <c r="G2" s="50"/>
      <c r="H2" s="50"/>
      <c r="I2" s="50"/>
      <c r="J2" s="50"/>
      <c r="K2" s="50"/>
      <c r="L2" s="50"/>
      <c r="M2" s="50"/>
      <c r="N2" s="50"/>
      <c r="O2" s="50"/>
    </row>
    <row r="3" spans="1:16" ht="18.5" x14ac:dyDescent="0.45">
      <c r="A3" s="261" t="s">
        <v>75</v>
      </c>
      <c r="B3" s="262"/>
      <c r="C3" s="262"/>
      <c r="D3" s="325" t="s">
        <v>84</v>
      </c>
      <c r="E3" s="325" t="s">
        <v>85</v>
      </c>
      <c r="F3" s="325" t="s">
        <v>86</v>
      </c>
      <c r="G3" s="325" t="s">
        <v>87</v>
      </c>
      <c r="H3" s="325" t="s">
        <v>88</v>
      </c>
      <c r="I3" s="325" t="s">
        <v>89</v>
      </c>
      <c r="J3" s="325" t="s">
        <v>90</v>
      </c>
      <c r="K3" s="325" t="s">
        <v>91</v>
      </c>
      <c r="L3" s="325" t="s">
        <v>92</v>
      </c>
      <c r="M3" s="325" t="s">
        <v>93</v>
      </c>
      <c r="N3" s="325" t="s">
        <v>94</v>
      </c>
      <c r="O3" s="325" t="s">
        <v>95</v>
      </c>
      <c r="P3" s="208"/>
    </row>
    <row r="4" spans="1:16" x14ac:dyDescent="0.35">
      <c r="A4" s="208"/>
      <c r="B4" s="208"/>
      <c r="C4" s="208"/>
      <c r="D4" s="209"/>
      <c r="E4" s="209"/>
      <c r="F4" s="209"/>
      <c r="G4" s="209"/>
      <c r="H4" s="209"/>
      <c r="I4" s="209"/>
      <c r="J4" s="209"/>
      <c r="K4" s="209"/>
      <c r="L4" s="209"/>
      <c r="M4" s="209"/>
      <c r="N4" s="209"/>
      <c r="O4" s="209"/>
    </row>
    <row r="5" spans="1:16" x14ac:dyDescent="0.35">
      <c r="A5" s="225" t="s">
        <v>421</v>
      </c>
      <c r="B5" s="225"/>
      <c r="C5" s="226"/>
      <c r="D5" s="227">
        <v>0</v>
      </c>
      <c r="E5" s="227">
        <v>0</v>
      </c>
      <c r="F5" s="227">
        <v>0</v>
      </c>
      <c r="G5" s="227">
        <v>0</v>
      </c>
      <c r="H5" s="227">
        <v>0</v>
      </c>
      <c r="I5" s="227">
        <v>0</v>
      </c>
      <c r="J5" s="227">
        <v>0</v>
      </c>
      <c r="K5" s="227">
        <v>0</v>
      </c>
      <c r="L5" s="227">
        <v>0</v>
      </c>
      <c r="M5" s="227">
        <v>0</v>
      </c>
      <c r="N5" s="227">
        <v>0</v>
      </c>
      <c r="O5" s="227">
        <v>0</v>
      </c>
    </row>
    <row r="6" spans="1:16" x14ac:dyDescent="0.35">
      <c r="A6" s="225" t="s">
        <v>185</v>
      </c>
      <c r="B6" s="225"/>
      <c r="C6" s="226"/>
      <c r="D6" s="227">
        <v>0</v>
      </c>
      <c r="E6" s="329">
        <v>0</v>
      </c>
      <c r="F6" s="329">
        <v>0</v>
      </c>
      <c r="G6" s="329">
        <v>0</v>
      </c>
      <c r="H6" s="329">
        <v>0</v>
      </c>
      <c r="I6" s="329">
        <v>0</v>
      </c>
      <c r="J6" s="329" t="s">
        <v>374</v>
      </c>
      <c r="K6" s="329" t="s">
        <v>374</v>
      </c>
      <c r="L6" s="329" t="s">
        <v>374</v>
      </c>
      <c r="M6" s="329" t="s">
        <v>374</v>
      </c>
      <c r="N6" s="329" t="s">
        <v>374</v>
      </c>
      <c r="O6" s="329" t="s">
        <v>374</v>
      </c>
      <c r="P6" s="49"/>
    </row>
    <row r="7" spans="1:16" x14ac:dyDescent="0.35">
      <c r="A7" s="210"/>
      <c r="B7" s="210"/>
      <c r="C7" s="211"/>
      <c r="D7" s="212"/>
      <c r="E7" s="212"/>
      <c r="F7" s="212"/>
      <c r="G7" s="212"/>
      <c r="H7" s="212"/>
      <c r="I7" s="212"/>
      <c r="J7" s="212"/>
      <c r="K7" s="212"/>
      <c r="L7" s="212"/>
      <c r="M7" s="212"/>
      <c r="N7" s="212"/>
      <c r="O7" s="212"/>
      <c r="P7" s="49"/>
    </row>
    <row r="8" spans="1:16" x14ac:dyDescent="0.35">
      <c r="A8" s="213" t="s">
        <v>96</v>
      </c>
      <c r="B8" s="213"/>
      <c r="C8" s="213"/>
      <c r="D8" s="214"/>
      <c r="E8" s="214"/>
      <c r="F8" s="214"/>
      <c r="G8" s="214"/>
      <c r="H8" s="214"/>
      <c r="I8" s="214"/>
      <c r="J8" s="214"/>
      <c r="K8" s="214"/>
      <c r="L8" s="214"/>
      <c r="M8" s="214"/>
      <c r="N8" s="214"/>
      <c r="O8" s="214"/>
      <c r="P8" s="49"/>
    </row>
    <row r="9" spans="1:16" x14ac:dyDescent="0.35">
      <c r="A9" s="213" t="s">
        <v>97</v>
      </c>
      <c r="B9" s="213"/>
      <c r="C9" s="213"/>
      <c r="D9" s="215" t="str">
        <f>IF(D6="-", "-",IF(D6=D5,"100%",(D6/D5)))</f>
        <v>100%</v>
      </c>
      <c r="E9" s="218" t="str">
        <f t="shared" ref="E9:O9" si="0">IF(E6="-", "-",IF(E6=E5,"100%",(E6/E5)))</f>
        <v>100%</v>
      </c>
      <c r="F9" s="218" t="str">
        <f t="shared" si="0"/>
        <v>100%</v>
      </c>
      <c r="G9" s="218" t="str">
        <f t="shared" si="0"/>
        <v>100%</v>
      </c>
      <c r="H9" s="218" t="str">
        <f t="shared" si="0"/>
        <v>100%</v>
      </c>
      <c r="I9" s="218" t="str">
        <f t="shared" si="0"/>
        <v>100%</v>
      </c>
      <c r="J9" s="218" t="str">
        <f t="shared" si="0"/>
        <v>-</v>
      </c>
      <c r="K9" s="218" t="str">
        <f t="shared" si="0"/>
        <v>-</v>
      </c>
      <c r="L9" s="218" t="str">
        <f t="shared" si="0"/>
        <v>-</v>
      </c>
      <c r="M9" s="218" t="str">
        <f t="shared" si="0"/>
        <v>-</v>
      </c>
      <c r="N9" s="218" t="str">
        <f t="shared" si="0"/>
        <v>-</v>
      </c>
      <c r="O9" s="218" t="str">
        <f t="shared" si="0"/>
        <v>-</v>
      </c>
      <c r="P9" s="49"/>
    </row>
    <row r="10" spans="1:16" x14ac:dyDescent="0.35">
      <c r="A10" s="213" t="s">
        <v>98</v>
      </c>
      <c r="B10" s="213"/>
      <c r="C10" s="213"/>
      <c r="D10" s="259" t="str">
        <f>IF(D6 = "-", "-",IF(SUM($D$6:D6)=SUM($D$5:D5), "100%", (SUM($D$6:D6)/SUM($D$5:D5))))</f>
        <v>100%</v>
      </c>
      <c r="E10" s="259" t="str">
        <f>IF(E6 = "-", "-",IF(SUM($D$6:E6)=SUM($D$5:E5), "100%", (SUM($D$6:E6)/SUM($D$5:E5))))</f>
        <v>100%</v>
      </c>
      <c r="F10" s="259" t="str">
        <f>IF(F6 = "-", "-",IF(SUM($D$6:F6)=SUM($D$5:F5), "100%", (SUM($D$6:F6)/SUM($D$5:F5))))</f>
        <v>100%</v>
      </c>
      <c r="G10" s="259" t="str">
        <f>IF(G6 = "-", "-",IF(SUM($D$6:G6)=SUM($D$5:G5), "100%", (SUM($D$6:G6)/SUM($D$5:G5))))</f>
        <v>100%</v>
      </c>
      <c r="H10" s="259" t="str">
        <f>IF(H6 = "-", "-",IF(SUM($D$6:H6)=SUM($D$5:H5), "100%", (SUM($D$6:H6)/SUM($D$5:H5))))</f>
        <v>100%</v>
      </c>
      <c r="I10" s="259" t="str">
        <f>IF(I6 = "-", "-",IF(SUM($D$6:I6)=SUM($D$5:I5), "100%", (SUM($D$6:I6)/SUM($D$5:I5))))</f>
        <v>100%</v>
      </c>
      <c r="J10" s="259" t="str">
        <f>IF(J6 = "-", "-",IF(SUM($D$6:J6)=SUM($D$5:J5), "100%", (SUM($D$6:J6)/SUM($D$5:J5))))</f>
        <v>-</v>
      </c>
      <c r="K10" s="259" t="str">
        <f>IF(K6 = "-", "-",IF(SUM($D$6:K6)=SUM($D$5:K5), "100%", (SUM($D$6:K6)/SUM($D$5:K5))))</f>
        <v>-</v>
      </c>
      <c r="L10" s="259" t="str">
        <f>IF(L6 = "-", "-",IF(SUM($D$6:L6)=SUM($D$5:L5), "100%", (SUM($D$6:L6)/SUM($D$5:L5))))</f>
        <v>-</v>
      </c>
      <c r="M10" s="259" t="str">
        <f>IF(M6 = "-", "-",IF(SUM($D$6:M6)=SUM($D$5:M5), "100%", (SUM($D$6:M6)/SUM($D$5:M5))))</f>
        <v>-</v>
      </c>
      <c r="N10" s="259" t="str">
        <f>IF(N6 = "-", "-",IF(SUM($D$6:N6)=SUM($D$5:N5), "100%", (SUM($D$6:N6)/SUM($D$5:N5))))</f>
        <v>-</v>
      </c>
      <c r="O10" s="259" t="str">
        <f>IF(O6 = "-", "-",IF(SUM($D$6:O6)=SUM($D$5:O5), "100%", (SUM($D$6:O6)/SUM($D$5:O5))))</f>
        <v>-</v>
      </c>
      <c r="P10" s="49"/>
    </row>
    <row r="11" spans="1:16" x14ac:dyDescent="0.35">
      <c r="A11" s="210"/>
      <c r="B11" s="210"/>
      <c r="C11" s="211"/>
      <c r="D11" s="260"/>
      <c r="E11" s="260"/>
      <c r="F11" s="260"/>
      <c r="G11" s="260"/>
      <c r="H11" s="260"/>
      <c r="I11" s="260"/>
      <c r="J11" s="260"/>
      <c r="K11" s="260"/>
      <c r="L11" s="260"/>
      <c r="M11" s="260"/>
      <c r="N11" s="260"/>
      <c r="O11" s="260"/>
      <c r="P11" s="49"/>
    </row>
    <row r="12" spans="1:16" ht="18.5" x14ac:dyDescent="0.45">
      <c r="A12" s="261" t="s">
        <v>19</v>
      </c>
      <c r="B12" s="262"/>
      <c r="C12" s="262"/>
      <c r="D12" s="263"/>
      <c r="E12" s="263"/>
      <c r="F12" s="263"/>
      <c r="G12" s="263"/>
      <c r="H12" s="263"/>
      <c r="I12" s="263"/>
      <c r="J12" s="263"/>
      <c r="K12" s="263"/>
      <c r="L12" s="263"/>
      <c r="M12" s="263"/>
      <c r="N12" s="263"/>
      <c r="O12" s="263"/>
      <c r="P12" s="49"/>
    </row>
    <row r="13" spans="1:16" x14ac:dyDescent="0.35">
      <c r="A13" s="210" t="s">
        <v>488</v>
      </c>
      <c r="B13" s="210"/>
      <c r="C13" s="211"/>
      <c r="D13" s="212"/>
      <c r="E13" s="212"/>
      <c r="F13" s="212"/>
      <c r="G13" s="212"/>
      <c r="H13" s="212"/>
      <c r="I13" s="212"/>
      <c r="J13" s="212"/>
      <c r="K13" s="212"/>
      <c r="L13" s="212"/>
      <c r="M13" s="212"/>
      <c r="N13" s="212"/>
      <c r="O13" s="212"/>
      <c r="P13" s="49"/>
    </row>
    <row r="14" spans="1:16" x14ac:dyDescent="0.35">
      <c r="A14" s="228" t="s">
        <v>421</v>
      </c>
      <c r="B14" s="228"/>
      <c r="C14" s="229"/>
      <c r="D14" s="230">
        <v>312851</v>
      </c>
      <c r="E14" s="230">
        <v>305638</v>
      </c>
      <c r="F14" s="230">
        <v>361752</v>
      </c>
      <c r="G14" s="330">
        <v>352526</v>
      </c>
      <c r="H14" s="416">
        <v>331118</v>
      </c>
      <c r="I14" s="416">
        <v>381975</v>
      </c>
      <c r="J14" s="416">
        <v>438928</v>
      </c>
      <c r="K14" s="416">
        <v>205879</v>
      </c>
      <c r="L14" s="416">
        <v>475634</v>
      </c>
      <c r="M14" s="416">
        <v>667138</v>
      </c>
      <c r="N14" s="416">
        <v>643512</v>
      </c>
      <c r="O14" s="416">
        <v>630444</v>
      </c>
      <c r="P14" s="49"/>
    </row>
    <row r="15" spans="1:16" x14ac:dyDescent="0.35">
      <c r="A15" s="228" t="s">
        <v>185</v>
      </c>
      <c r="B15" s="228"/>
      <c r="C15" s="229"/>
      <c r="D15" s="230">
        <v>273532</v>
      </c>
      <c r="E15" s="330">
        <v>316893</v>
      </c>
      <c r="F15" s="330">
        <v>346398</v>
      </c>
      <c r="G15" s="370">
        <v>334451</v>
      </c>
      <c r="H15" s="330">
        <v>328239</v>
      </c>
      <c r="I15" s="330">
        <v>328144</v>
      </c>
      <c r="J15" s="330" t="s">
        <v>374</v>
      </c>
      <c r="K15" s="330" t="s">
        <v>374</v>
      </c>
      <c r="L15" s="330" t="s">
        <v>374</v>
      </c>
      <c r="M15" s="330" t="s">
        <v>374</v>
      </c>
      <c r="N15" s="330" t="s">
        <v>374</v>
      </c>
      <c r="O15" s="330" t="s">
        <v>374</v>
      </c>
    </row>
    <row r="16" spans="1:16" x14ac:dyDescent="0.35">
      <c r="A16" s="211"/>
      <c r="B16" s="211"/>
      <c r="C16" s="211"/>
      <c r="D16" s="212"/>
      <c r="E16" s="212"/>
      <c r="F16" s="212"/>
      <c r="G16" s="212"/>
      <c r="H16" s="212"/>
      <c r="I16" s="212"/>
      <c r="J16" s="212"/>
      <c r="K16" s="212"/>
      <c r="L16" s="212"/>
      <c r="M16" s="212"/>
      <c r="N16" s="212"/>
      <c r="O16" s="212"/>
    </row>
    <row r="17" spans="1:17" x14ac:dyDescent="0.35">
      <c r="A17" s="213" t="s">
        <v>96</v>
      </c>
      <c r="B17" s="213"/>
      <c r="C17" s="216"/>
      <c r="D17" s="217"/>
      <c r="E17" s="217"/>
      <c r="F17" s="217"/>
      <c r="G17" s="217"/>
      <c r="H17" s="217"/>
      <c r="I17" s="217"/>
      <c r="J17" s="217"/>
      <c r="K17" s="217"/>
      <c r="L17" s="217"/>
      <c r="M17" s="217"/>
      <c r="N17" s="217"/>
      <c r="O17" s="217"/>
    </row>
    <row r="18" spans="1:17" x14ac:dyDescent="0.35">
      <c r="A18" s="213" t="s">
        <v>97</v>
      </c>
      <c r="B18" s="213"/>
      <c r="C18" s="216"/>
      <c r="D18" s="218">
        <f t="shared" ref="D18" si="1">D15/D14</f>
        <v>0.87432036336786523</v>
      </c>
      <c r="E18" s="218">
        <f t="shared" ref="E18:O18" si="2">IF(E6="-", "-",(E15/E14))</f>
        <v>1.0368246095053626</v>
      </c>
      <c r="F18" s="218">
        <f t="shared" si="2"/>
        <v>0.9575565580839912</v>
      </c>
      <c r="G18" s="218">
        <f t="shared" si="2"/>
        <v>0.94872718607989193</v>
      </c>
      <c r="H18" s="218">
        <f t="shared" si="2"/>
        <v>0.99130521445526976</v>
      </c>
      <c r="I18" s="218">
        <f t="shared" si="2"/>
        <v>0.85907192879115124</v>
      </c>
      <c r="J18" s="218" t="str">
        <f t="shared" si="2"/>
        <v>-</v>
      </c>
      <c r="K18" s="218" t="str">
        <f t="shared" si="2"/>
        <v>-</v>
      </c>
      <c r="L18" s="218" t="str">
        <f t="shared" si="2"/>
        <v>-</v>
      </c>
      <c r="M18" s="218" t="str">
        <f t="shared" si="2"/>
        <v>-</v>
      </c>
      <c r="N18" s="218" t="str">
        <f t="shared" si="2"/>
        <v>-</v>
      </c>
      <c r="O18" s="218" t="str">
        <f t="shared" si="2"/>
        <v>-</v>
      </c>
    </row>
    <row r="19" spans="1:17" x14ac:dyDescent="0.35">
      <c r="A19" s="213" t="s">
        <v>98</v>
      </c>
      <c r="B19" s="213"/>
      <c r="C19" s="216"/>
      <c r="D19" s="215">
        <f>IF(D15=0, "N/A", (SUM($D$15:D15)/SUM($D$14:D14)))</f>
        <v>0.87432036336786523</v>
      </c>
      <c r="E19" s="215">
        <f>IF(E15="-", "-", (SUM($D$15:E15)/SUM($D$14:E14)))</f>
        <v>0.95462490036201131</v>
      </c>
      <c r="F19" s="215">
        <f>IF(F15="-", "-", (SUM($D$15:F15)/SUM($D$14:F14)))</f>
        <v>0.95570681087610088</v>
      </c>
      <c r="G19" s="215">
        <f>IF(G15="-", "-", (SUM($D$15:G15)/SUM($D$14:G14)))</f>
        <v>0.95386065231206951</v>
      </c>
      <c r="H19" s="215">
        <f>IF(H15="-", "-", (SUM($D$15:H15)/SUM($D$14:H14)))</f>
        <v>0.96131223011205702</v>
      </c>
      <c r="I19" s="215">
        <f>IF(I15="-", "-", (SUM($D$15:I15)/SUM($D$14:I14)))</f>
        <v>0.94222331928870984</v>
      </c>
      <c r="J19" s="215" t="str">
        <f>IF(J15="-", "-", (SUM($D$15:J15)/SUM($D$14:J14)))</f>
        <v>-</v>
      </c>
      <c r="K19" s="215" t="str">
        <f>IF(K15="-", "-", (SUM($D$15:K15)/SUM($D$14:K14)))</f>
        <v>-</v>
      </c>
      <c r="L19" s="215" t="str">
        <f>IF(L15="-", "-", (SUM($D$15:L15)/SUM($D$14:L14)))</f>
        <v>-</v>
      </c>
      <c r="M19" s="215" t="str">
        <f>IF(M15="-", "-", (SUM($D$15:M15)/SUM($D$14:M14)))</f>
        <v>-</v>
      </c>
      <c r="N19" s="215" t="str">
        <f>IF(N15="-", "-", (SUM($D$15:N15)/SUM($D$14:N14)))</f>
        <v>-</v>
      </c>
      <c r="O19" s="215" t="str">
        <f>IF(O15="-", "-", (SUM($D$15:O15)/SUM($D$14:O14)))</f>
        <v>-</v>
      </c>
    </row>
    <row r="20" spans="1:17" x14ac:dyDescent="0.35">
      <c r="A20" s="22"/>
      <c r="B20" s="56"/>
      <c r="C20" s="56"/>
      <c r="D20" s="219"/>
      <c r="E20" s="219"/>
      <c r="F20" s="219"/>
      <c r="G20" s="219"/>
      <c r="H20" s="219"/>
      <c r="I20" s="219"/>
      <c r="J20" s="219"/>
      <c r="K20" s="219"/>
      <c r="L20" s="219"/>
      <c r="M20" s="219"/>
      <c r="N20" s="219"/>
      <c r="O20" s="219"/>
    </row>
    <row r="21" spans="1:17" ht="18.5" x14ac:dyDescent="0.45">
      <c r="A21" s="220" t="s">
        <v>99</v>
      </c>
      <c r="B21" s="221"/>
      <c r="C21" s="221"/>
      <c r="D21" s="222"/>
      <c r="E21" s="222"/>
      <c r="F21" s="222"/>
      <c r="G21" s="222"/>
      <c r="H21" s="222"/>
      <c r="I21" s="222"/>
      <c r="J21" s="222"/>
      <c r="K21" s="222"/>
      <c r="L21" s="222"/>
      <c r="M21" s="222"/>
      <c r="N21" s="222"/>
      <c r="O21" s="222"/>
    </row>
    <row r="22" spans="1:17" x14ac:dyDescent="0.35">
      <c r="A22" s="56"/>
      <c r="B22" s="56"/>
      <c r="C22" s="56"/>
      <c r="D22" s="219"/>
      <c r="E22" s="219"/>
      <c r="F22" s="219"/>
      <c r="G22" s="219"/>
      <c r="H22" s="219"/>
      <c r="I22" s="219"/>
      <c r="J22" s="219"/>
      <c r="K22" s="219"/>
      <c r="L22" s="322"/>
      <c r="M22" s="322"/>
      <c r="N22" s="322"/>
      <c r="O22" s="322"/>
    </row>
    <row r="23" spans="1:17" x14ac:dyDescent="0.35">
      <c r="A23" s="22" t="s">
        <v>421</v>
      </c>
      <c r="B23" s="22"/>
      <c r="C23" s="56"/>
      <c r="D23" s="223">
        <f t="shared" ref="D23:I24" si="3">D5+D14</f>
        <v>312851</v>
      </c>
      <c r="E23" s="223">
        <f t="shared" si="3"/>
        <v>305638</v>
      </c>
      <c r="F23" s="223">
        <f t="shared" si="3"/>
        <v>361752</v>
      </c>
      <c r="G23" s="223">
        <f t="shared" si="3"/>
        <v>352526</v>
      </c>
      <c r="H23" s="223">
        <f t="shared" si="3"/>
        <v>331118</v>
      </c>
      <c r="I23" s="223">
        <f t="shared" si="3"/>
        <v>381975</v>
      </c>
      <c r="J23" s="223">
        <f>J5+J14</f>
        <v>438928</v>
      </c>
      <c r="K23" s="223">
        <f>K5+K14</f>
        <v>205879</v>
      </c>
      <c r="L23" s="223">
        <f>L5+L14</f>
        <v>475634</v>
      </c>
      <c r="M23" s="223">
        <f t="shared" ref="M23:O23" si="4">M5+M14</f>
        <v>667138</v>
      </c>
      <c r="N23" s="223">
        <f t="shared" si="4"/>
        <v>643512</v>
      </c>
      <c r="O23" s="223">
        <f t="shared" si="4"/>
        <v>630444</v>
      </c>
      <c r="P23" s="244"/>
      <c r="Q23" s="31"/>
    </row>
    <row r="24" spans="1:17" x14ac:dyDescent="0.35">
      <c r="A24" s="22" t="s">
        <v>185</v>
      </c>
      <c r="B24" s="22"/>
      <c r="C24" s="56"/>
      <c r="D24" s="223">
        <f t="shared" si="3"/>
        <v>273532</v>
      </c>
      <c r="E24" s="223">
        <f>IF(E15="-", "-",(E6+E15))</f>
        <v>316893</v>
      </c>
      <c r="F24" s="223">
        <f t="shared" ref="F24:O24" si="5">IF(F6="-", "-",(F6+F15))</f>
        <v>346398</v>
      </c>
      <c r="G24" s="223">
        <f t="shared" si="5"/>
        <v>334451</v>
      </c>
      <c r="H24" s="223">
        <f t="shared" si="5"/>
        <v>328239</v>
      </c>
      <c r="I24" s="223">
        <f t="shared" si="5"/>
        <v>328144</v>
      </c>
      <c r="J24" s="223" t="str">
        <f t="shared" si="5"/>
        <v>-</v>
      </c>
      <c r="K24" s="223" t="str">
        <f t="shared" si="5"/>
        <v>-</v>
      </c>
      <c r="L24" s="223" t="str">
        <f t="shared" si="5"/>
        <v>-</v>
      </c>
      <c r="M24" s="223" t="str">
        <f t="shared" si="5"/>
        <v>-</v>
      </c>
      <c r="N24" s="223" t="str">
        <f t="shared" si="5"/>
        <v>-</v>
      </c>
      <c r="O24" s="223" t="str">
        <f t="shared" si="5"/>
        <v>-</v>
      </c>
    </row>
    <row r="25" spans="1:17" x14ac:dyDescent="0.35">
      <c r="A25" s="22"/>
      <c r="B25" s="22"/>
      <c r="C25" s="56"/>
      <c r="D25" s="224"/>
      <c r="E25" s="224"/>
      <c r="F25" s="224"/>
      <c r="G25" s="224"/>
      <c r="H25" s="224"/>
      <c r="I25" s="224"/>
      <c r="J25" s="224"/>
      <c r="K25" s="224"/>
      <c r="L25" s="224"/>
      <c r="M25" s="224"/>
      <c r="N25" s="224"/>
      <c r="O25" s="224"/>
    </row>
    <row r="26" spans="1:17" x14ac:dyDescent="0.35">
      <c r="A26" s="213" t="s">
        <v>96</v>
      </c>
      <c r="B26" s="213"/>
      <c r="C26" s="216"/>
      <c r="D26" s="217"/>
      <c r="E26" s="217"/>
      <c r="F26" s="217"/>
      <c r="G26" s="217"/>
      <c r="H26" s="217"/>
      <c r="I26" s="217"/>
      <c r="J26" s="217"/>
      <c r="K26" s="217"/>
      <c r="L26" s="217"/>
      <c r="M26" s="217"/>
      <c r="N26" s="217"/>
      <c r="O26" s="217"/>
    </row>
    <row r="27" spans="1:17" x14ac:dyDescent="0.35">
      <c r="A27" s="213" t="s">
        <v>97</v>
      </c>
      <c r="B27" s="213"/>
      <c r="C27" s="216"/>
      <c r="D27" s="218">
        <f t="shared" ref="D27" si="6">D24/D23</f>
        <v>0.87432036336786523</v>
      </c>
      <c r="E27" s="218">
        <f>IF(E6="-", "-",(E24/E23))</f>
        <v>1.0368246095053626</v>
      </c>
      <c r="F27" s="218">
        <f>IF(F15="-", "-",(F24/F23))</f>
        <v>0.9575565580839912</v>
      </c>
      <c r="G27" s="218">
        <f t="shared" ref="G27:O27" si="7">IF(G6="-", "-",(G24/G23))</f>
        <v>0.94872718607989193</v>
      </c>
      <c r="H27" s="218">
        <f t="shared" si="7"/>
        <v>0.99130521445526976</v>
      </c>
      <c r="I27" s="218">
        <f t="shared" si="7"/>
        <v>0.85907192879115124</v>
      </c>
      <c r="J27" s="218" t="str">
        <f t="shared" si="7"/>
        <v>-</v>
      </c>
      <c r="K27" s="218" t="str">
        <f t="shared" si="7"/>
        <v>-</v>
      </c>
      <c r="L27" s="218" t="str">
        <f t="shared" si="7"/>
        <v>-</v>
      </c>
      <c r="M27" s="218" t="str">
        <f t="shared" si="7"/>
        <v>-</v>
      </c>
      <c r="N27" s="218" t="str">
        <f t="shared" si="7"/>
        <v>-</v>
      </c>
      <c r="O27" s="218" t="str">
        <f t="shared" si="7"/>
        <v>-</v>
      </c>
    </row>
    <row r="28" spans="1:17" x14ac:dyDescent="0.35">
      <c r="A28" s="213" t="s">
        <v>98</v>
      </c>
      <c r="B28" s="213"/>
      <c r="C28" s="216"/>
      <c r="D28" s="215">
        <f>IF(D24=0, "N/A", (SUM($D$24:D24)/SUM($D$23:D23)))</f>
        <v>0.87432036336786523</v>
      </c>
      <c r="E28" s="215">
        <f>IF(E24="-", "-", (SUM($D$24:E24)/SUM($D$23:E23)))</f>
        <v>0.95462490036201131</v>
      </c>
      <c r="F28" s="215">
        <f>IF(F24="-", "-", (SUM($D$24:F24)/SUM($D$23:F23)))</f>
        <v>0.95570681087610088</v>
      </c>
      <c r="G28" s="215">
        <f>IF(G24="-", "-", (SUM($D$24:G24)/SUM($D$23:G23)))</f>
        <v>0.95386065231206951</v>
      </c>
      <c r="H28" s="215">
        <f>IF(H24="-", "-", (SUM($D$24:H24)/SUM($D$23:H23)))</f>
        <v>0.96131223011205702</v>
      </c>
      <c r="I28" s="215">
        <f>IF(I24="-", "-", (SUM($D$24:I24)/SUM($D$23:I23)))</f>
        <v>0.94222331928870984</v>
      </c>
      <c r="J28" s="215" t="str">
        <f>IF(J24="-", "-", (SUM($D$24:J24)/SUM($D$23:J23)))</f>
        <v>-</v>
      </c>
      <c r="K28" s="215" t="str">
        <f>IF(K24="-", "-", (SUM($D$24:K24)/SUM($D$23:K23)))</f>
        <v>-</v>
      </c>
      <c r="L28" s="215" t="str">
        <f>IF(L24="-", "-", (SUM($D$24:L24)/SUM($D$23:L23)))</f>
        <v>-</v>
      </c>
      <c r="M28" s="215" t="str">
        <f>IF(M24="-", "-", (SUM($D$24:M24)/SUM($D$23:M23)))</f>
        <v>-</v>
      </c>
      <c r="N28" s="215" t="str">
        <f>IF(N24="-", "-", (SUM($D$24:N24)/SUM($D$23:N23)))</f>
        <v>-</v>
      </c>
      <c r="O28" s="215" t="str">
        <f>IF(O24="-", "-", (SUM($D$24:O24)/SUM($D$23:O23)))</f>
        <v>-</v>
      </c>
    </row>
    <row r="29" spans="1:17" x14ac:dyDescent="0.35">
      <c r="A29" s="49"/>
      <c r="B29" s="49"/>
      <c r="C29" s="49"/>
      <c r="D29" s="50"/>
      <c r="E29" s="50"/>
      <c r="F29" s="50"/>
      <c r="G29" s="50"/>
      <c r="H29" s="50"/>
      <c r="I29" s="50"/>
      <c r="J29" s="50"/>
      <c r="K29" s="50"/>
      <c r="L29" s="50"/>
      <c r="M29" s="50"/>
      <c r="N29" s="50"/>
      <c r="O29" s="50"/>
    </row>
    <row r="30" spans="1:17" x14ac:dyDescent="0.35">
      <c r="A30" s="225" t="s">
        <v>100</v>
      </c>
      <c r="B30" s="225"/>
      <c r="C30" s="226"/>
      <c r="D30" s="231">
        <f t="shared" ref="D30" si="8">D6/D24</f>
        <v>0</v>
      </c>
      <c r="E30" s="231">
        <f>IF(E24="-", "-", (E6/E24))</f>
        <v>0</v>
      </c>
      <c r="F30" s="231">
        <f t="shared" ref="F30:O30" si="9">IF(F24="-", "-", (F6/F24))</f>
        <v>0</v>
      </c>
      <c r="G30" s="231">
        <f t="shared" si="9"/>
        <v>0</v>
      </c>
      <c r="H30" s="231">
        <f t="shared" si="9"/>
        <v>0</v>
      </c>
      <c r="I30" s="231">
        <f t="shared" si="9"/>
        <v>0</v>
      </c>
      <c r="J30" s="231" t="str">
        <f t="shared" si="9"/>
        <v>-</v>
      </c>
      <c r="K30" s="231" t="str">
        <f t="shared" si="9"/>
        <v>-</v>
      </c>
      <c r="L30" s="231" t="str">
        <f t="shared" si="9"/>
        <v>-</v>
      </c>
      <c r="M30" s="231" t="str">
        <f t="shared" si="9"/>
        <v>-</v>
      </c>
      <c r="N30" s="231" t="str">
        <f t="shared" si="9"/>
        <v>-</v>
      </c>
      <c r="O30" s="231" t="str">
        <f t="shared" si="9"/>
        <v>-</v>
      </c>
    </row>
    <row r="31" spans="1:17" x14ac:dyDescent="0.35">
      <c r="A31" s="228" t="s">
        <v>101</v>
      </c>
      <c r="B31" s="229"/>
      <c r="C31" s="229"/>
      <c r="D31" s="232">
        <f t="shared" ref="D31" si="10">D15/D24</f>
        <v>1</v>
      </c>
      <c r="E31" s="232">
        <f>IF(E24="-", "-", (E15/E24))</f>
        <v>1</v>
      </c>
      <c r="F31" s="232">
        <f t="shared" ref="F31:O31" si="11">IF(F24="-", "-", (F15/F24))</f>
        <v>1</v>
      </c>
      <c r="G31" s="232">
        <f t="shared" si="11"/>
        <v>1</v>
      </c>
      <c r="H31" s="232">
        <f t="shared" si="11"/>
        <v>1</v>
      </c>
      <c r="I31" s="232">
        <f t="shared" si="11"/>
        <v>1</v>
      </c>
      <c r="J31" s="232" t="str">
        <f t="shared" si="11"/>
        <v>-</v>
      </c>
      <c r="K31" s="232" t="str">
        <f t="shared" si="11"/>
        <v>-</v>
      </c>
      <c r="L31" s="232" t="str">
        <f t="shared" si="11"/>
        <v>-</v>
      </c>
      <c r="M31" s="232" t="str">
        <f t="shared" si="11"/>
        <v>-</v>
      </c>
      <c r="N31" s="232" t="str">
        <f t="shared" si="11"/>
        <v>-</v>
      </c>
      <c r="O31" s="232" t="str">
        <f t="shared" si="11"/>
        <v>-</v>
      </c>
    </row>
    <row r="32" spans="1:17" x14ac:dyDescent="0.35">
      <c r="A32" s="49"/>
      <c r="B32" s="49"/>
      <c r="C32" s="49"/>
      <c r="D32" s="49"/>
      <c r="E32" s="49"/>
      <c r="F32" s="49"/>
      <c r="G32" s="49"/>
      <c r="H32" s="49"/>
      <c r="I32" s="49"/>
      <c r="J32" s="49"/>
      <c r="K32" s="49"/>
      <c r="L32" s="49"/>
      <c r="M32" s="49"/>
      <c r="N32" s="49"/>
      <c r="O32" s="49"/>
    </row>
    <row r="33" spans="1:22" x14ac:dyDescent="0.35">
      <c r="A33" s="49"/>
      <c r="B33" s="49"/>
      <c r="C33" s="49"/>
      <c r="D33" s="49"/>
      <c r="E33" s="49"/>
      <c r="F33" s="49"/>
      <c r="G33" s="49"/>
      <c r="H33" s="49"/>
      <c r="I33" s="49"/>
      <c r="J33" s="49"/>
      <c r="K33" s="49"/>
      <c r="L33" s="49"/>
      <c r="M33" s="49"/>
      <c r="N33" s="49"/>
      <c r="O33" s="49"/>
    </row>
    <row r="36" spans="1:22" x14ac:dyDescent="0.35">
      <c r="A36" s="464" t="s">
        <v>108</v>
      </c>
      <c r="B36" s="464"/>
      <c r="C36" s="464"/>
      <c r="D36" s="464"/>
      <c r="E36" s="464"/>
      <c r="F36" s="464"/>
      <c r="G36" s="464"/>
      <c r="H36" s="464"/>
      <c r="I36" s="464"/>
      <c r="J36" s="464"/>
      <c r="K36" s="464"/>
      <c r="L36" s="464"/>
      <c r="M36" s="464"/>
      <c r="N36" s="464"/>
      <c r="O36" s="464"/>
      <c r="V36" s="208"/>
    </row>
    <row r="37" spans="1:22" x14ac:dyDescent="0.35">
      <c r="A37" s="245" t="s">
        <v>103</v>
      </c>
      <c r="B37" s="246"/>
      <c r="C37" s="246"/>
      <c r="D37" s="246"/>
      <c r="E37" s="246"/>
      <c r="F37" s="246"/>
      <c r="G37" s="246"/>
      <c r="H37" s="246"/>
      <c r="I37" s="246"/>
      <c r="J37" s="246"/>
      <c r="K37" s="246"/>
      <c r="L37" s="246"/>
      <c r="M37" s="246"/>
      <c r="N37" s="246"/>
      <c r="O37" s="246"/>
    </row>
    <row r="38" spans="1:22" x14ac:dyDescent="0.35">
      <c r="A38" s="246" t="s">
        <v>104</v>
      </c>
      <c r="B38" s="246"/>
      <c r="C38" s="246"/>
      <c r="D38" s="246">
        <f>SUM($D$5:D5)</f>
        <v>0</v>
      </c>
      <c r="E38" s="246">
        <f>SUM($D$5:E5)</f>
        <v>0</v>
      </c>
      <c r="F38" s="246">
        <f>SUM($D$5:F5)</f>
        <v>0</v>
      </c>
      <c r="G38" s="246">
        <f>SUM($D$5:G5)</f>
        <v>0</v>
      </c>
      <c r="H38" s="246">
        <f>SUM($D$5:H5)</f>
        <v>0</v>
      </c>
      <c r="I38" s="246">
        <f>SUM($D$5:I5)</f>
        <v>0</v>
      </c>
      <c r="J38" s="246">
        <f>SUM($D$5:J5)</f>
        <v>0</v>
      </c>
      <c r="K38" s="246">
        <f>SUM($D$5:K5)</f>
        <v>0</v>
      </c>
      <c r="L38" s="246">
        <f>SUM($D$5:L5)</f>
        <v>0</v>
      </c>
      <c r="M38" s="246">
        <f>SUM($D$5:M5)</f>
        <v>0</v>
      </c>
      <c r="N38" s="246">
        <f>SUM($D$5:N5)</f>
        <v>0</v>
      </c>
      <c r="O38" s="246">
        <f>SUM($D$5:O5)</f>
        <v>0</v>
      </c>
    </row>
    <row r="39" spans="1:22" s="49" customFormat="1" x14ac:dyDescent="0.35">
      <c r="A39" s="246" t="s">
        <v>106</v>
      </c>
      <c r="B39" s="246"/>
      <c r="C39" s="246"/>
      <c r="D39" s="246">
        <f>IF(D6="-", #N/A,SUM($D$6:D6))</f>
        <v>0</v>
      </c>
      <c r="E39" s="246">
        <f>IF(E6="-", #N/A,SUM($D$6:E6))</f>
        <v>0</v>
      </c>
      <c r="F39" s="246">
        <f>IF(F6="-", #N/A,SUM($D$6:F6))</f>
        <v>0</v>
      </c>
      <c r="G39" s="246">
        <f>IF(G6="-", #N/A,SUM($D$6:G6))</f>
        <v>0</v>
      </c>
      <c r="H39" s="246">
        <f>IF(H6="-", #N/A,SUM($D$6:H6))</f>
        <v>0</v>
      </c>
      <c r="I39" s="246">
        <f>IF(I6="-", #N/A,SUM($D$6:I6))</f>
        <v>0</v>
      </c>
      <c r="J39" s="246" t="e">
        <f>IF(J6="-", #N/A,SUM($D$6:J6))</f>
        <v>#N/A</v>
      </c>
      <c r="K39" s="246" t="e">
        <f>IF(K6="-", #N/A,SUM($D$6:K6))</f>
        <v>#N/A</v>
      </c>
      <c r="L39" s="246" t="e">
        <f>IF(L6="-", #N/A,SUM($D$6:L6))</f>
        <v>#N/A</v>
      </c>
      <c r="M39" s="246" t="e">
        <f>IF(M6="-", #N/A,SUM($D$6:M6))</f>
        <v>#N/A</v>
      </c>
      <c r="N39" s="246" t="e">
        <f>IF(N6="-", #N/A,SUM($D$6:N6))</f>
        <v>#N/A</v>
      </c>
      <c r="O39" s="246" t="e">
        <f>IF(O6="-", #N/A,SUM($D$6:O6))</f>
        <v>#N/A</v>
      </c>
    </row>
    <row r="40" spans="1:22" x14ac:dyDescent="0.35">
      <c r="A40" s="246" t="s">
        <v>105</v>
      </c>
      <c r="B40" s="246"/>
      <c r="C40" s="246"/>
      <c r="D40" s="246">
        <f>SUM($D$14:D14)</f>
        <v>312851</v>
      </c>
      <c r="E40" s="246">
        <f>SUM($D$14:E14)</f>
        <v>618489</v>
      </c>
      <c r="F40" s="246">
        <f>SUM($D$14:F14)</f>
        <v>980241</v>
      </c>
      <c r="G40" s="246">
        <f>SUM($D$14:G14)</f>
        <v>1332767</v>
      </c>
      <c r="H40" s="246">
        <f>SUM($D$14:H14)</f>
        <v>1663885</v>
      </c>
      <c r="I40" s="246">
        <f>SUM($D$14:I14)</f>
        <v>2045860</v>
      </c>
      <c r="J40" s="246">
        <f>SUM($D$14:J14)</f>
        <v>2484788</v>
      </c>
      <c r="K40" s="246">
        <f>SUM($D$14:K14)</f>
        <v>2690667</v>
      </c>
      <c r="L40" s="246">
        <f>SUM($D$14:L14)</f>
        <v>3166301</v>
      </c>
      <c r="M40" s="246">
        <f>SUM($D$14:M14)</f>
        <v>3833439</v>
      </c>
      <c r="N40" s="246">
        <f>SUM($D$14:N14)</f>
        <v>4476951</v>
      </c>
      <c r="O40" s="246">
        <f>SUM($D$14:O14)</f>
        <v>5107395</v>
      </c>
    </row>
    <row r="41" spans="1:22" x14ac:dyDescent="0.35">
      <c r="A41" s="246" t="s">
        <v>107</v>
      </c>
      <c r="B41" s="246"/>
      <c r="C41" s="246"/>
      <c r="D41" s="246">
        <f>IF(D15="-", #N/A,SUM($D$15:D15))</f>
        <v>273532</v>
      </c>
      <c r="E41" s="246">
        <f>IF(E15="-", #N/A,SUM($D$15:E15))</f>
        <v>590425</v>
      </c>
      <c r="F41" s="246">
        <f>IF(F15="-", #N/A,SUM($D$15:F15))</f>
        <v>936823</v>
      </c>
      <c r="G41" s="246">
        <f>IF(G15="-", #N/A,SUM($D$15:G15))</f>
        <v>1271274</v>
      </c>
      <c r="H41" s="246">
        <f>IF(H15="-", #N/A,SUM($D$15:H15))</f>
        <v>1599513</v>
      </c>
      <c r="I41" s="246">
        <f>IF(I15="-", #N/A,SUM($D$15:I15))</f>
        <v>1927657</v>
      </c>
      <c r="J41" s="246" t="e">
        <f>IF(J15="-", #N/A,SUM($D$15:J15))</f>
        <v>#N/A</v>
      </c>
      <c r="K41" s="246" t="e">
        <f>IF(K15="-", #N/A,SUM($D$15:K15))</f>
        <v>#N/A</v>
      </c>
      <c r="L41" s="246" t="e">
        <f>IF(L15="-", #N/A,SUM($D$15:L15))</f>
        <v>#N/A</v>
      </c>
      <c r="M41" s="246" t="e">
        <f>IF(M15="-", #N/A,SUM($D$15:M15))</f>
        <v>#N/A</v>
      </c>
      <c r="N41" s="246" t="e">
        <f>IF(N15="-", #N/A,SUM($D$15:N15))</f>
        <v>#N/A</v>
      </c>
      <c r="O41" s="246" t="e">
        <f>IF(O15="-", #N/A,SUM($D$15:O15))</f>
        <v>#N/A</v>
      </c>
    </row>
  </sheetData>
  <sheetProtection formatCells="0" formatColumns="0" formatRows="0"/>
  <mergeCells count="1">
    <mergeCell ref="A36:O36"/>
  </mergeCells>
  <conditionalFormatting sqref="D9">
    <cfRule type="cellIs" dxfId="17" priority="18" operator="greaterThan">
      <formula>0.9</formula>
    </cfRule>
  </conditionalFormatting>
  <conditionalFormatting sqref="D9">
    <cfRule type="cellIs" dxfId="16" priority="17" operator="lessThan">
      <formula>0.9</formula>
    </cfRule>
  </conditionalFormatting>
  <conditionalFormatting sqref="D9">
    <cfRule type="cellIs" dxfId="15" priority="16" operator="equal">
      <formula>0</formula>
    </cfRule>
  </conditionalFormatting>
  <conditionalFormatting sqref="D18">
    <cfRule type="cellIs" dxfId="14" priority="13" operator="equal">
      <formula>0</formula>
    </cfRule>
    <cfRule type="cellIs" dxfId="13" priority="14" operator="lessThan">
      <formula>0.9</formula>
    </cfRule>
    <cfRule type="cellIs" dxfId="12" priority="15" operator="greaterThan">
      <formula>0.9</formula>
    </cfRule>
  </conditionalFormatting>
  <conditionalFormatting sqref="D27:O27">
    <cfRule type="cellIs" dxfId="11" priority="10" operator="equal">
      <formula>"-"</formula>
    </cfRule>
    <cfRule type="cellIs" dxfId="10" priority="11" operator="lessThan">
      <formula>0.9</formula>
    </cfRule>
    <cfRule type="cellIs" dxfId="9" priority="12" operator="greaterThan">
      <formula>0.9</formula>
    </cfRule>
  </conditionalFormatting>
  <conditionalFormatting sqref="E18:O18">
    <cfRule type="cellIs" dxfId="8" priority="7" operator="equal">
      <formula>"-"</formula>
    </cfRule>
    <cfRule type="cellIs" dxfId="7" priority="8" operator="lessThan">
      <formula>0.9</formula>
    </cfRule>
    <cfRule type="cellIs" dxfId="6" priority="9" operator="greaterThan">
      <formula>0.9</formula>
    </cfRule>
  </conditionalFormatting>
  <conditionalFormatting sqref="E9:O9">
    <cfRule type="cellIs" dxfId="5" priority="1" operator="equal">
      <formula>"-"</formula>
    </cfRule>
    <cfRule type="cellIs" dxfId="4" priority="2" operator="lessThan">
      <formula>0.9</formula>
    </cfRule>
    <cfRule type="cellIs" dxfId="3" priority="3" operator="greaterThan">
      <formula>0.9</formula>
    </cfRule>
  </conditionalFormatting>
  <printOptions horizontalCentered="1"/>
  <pageMargins left="0.7" right="0.7" top="0.45" bottom="0.28000000000000003" header="0.25" footer="0.2"/>
  <pageSetup scale="85" orientation="landscape" r:id="rId1"/>
  <headerFooter differentFirst="1">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M35"/>
  <sheetViews>
    <sheetView view="pageLayout" zoomScaleNormal="100" workbookViewId="0">
      <selection activeCell="I45" sqref="I45"/>
    </sheetView>
  </sheetViews>
  <sheetFormatPr defaultRowHeight="14.5" x14ac:dyDescent="0.35"/>
  <sheetData>
    <row r="1" spans="1:13" x14ac:dyDescent="0.35">
      <c r="A1" s="49"/>
      <c r="B1" s="49"/>
      <c r="C1" s="49"/>
      <c r="D1" s="49"/>
      <c r="E1" s="49"/>
      <c r="F1" s="49"/>
      <c r="G1" s="49"/>
      <c r="H1" s="49"/>
      <c r="I1" s="49"/>
      <c r="J1" s="49"/>
      <c r="K1" s="49"/>
      <c r="L1" s="49"/>
      <c r="M1" s="49"/>
    </row>
    <row r="2" spans="1:13" x14ac:dyDescent="0.35">
      <c r="A2" s="465" t="s">
        <v>117</v>
      </c>
      <c r="B2" s="465"/>
      <c r="C2" s="465"/>
      <c r="D2" s="465"/>
      <c r="E2" s="465"/>
      <c r="F2" s="465"/>
      <c r="G2" s="465"/>
      <c r="H2" s="465"/>
      <c r="I2" s="465"/>
      <c r="J2" s="465"/>
      <c r="K2" s="465"/>
      <c r="L2" s="465"/>
      <c r="M2" s="465"/>
    </row>
    <row r="3" spans="1:13" x14ac:dyDescent="0.35">
      <c r="A3" s="465"/>
      <c r="B3" s="465"/>
      <c r="C3" s="465"/>
      <c r="D3" s="465"/>
      <c r="E3" s="465"/>
      <c r="F3" s="465"/>
      <c r="G3" s="465"/>
      <c r="H3" s="465"/>
      <c r="I3" s="465"/>
      <c r="J3" s="465"/>
      <c r="K3" s="465"/>
      <c r="L3" s="465"/>
      <c r="M3" s="465"/>
    </row>
    <row r="4" spans="1:13" x14ac:dyDescent="0.35">
      <c r="A4" s="49"/>
      <c r="B4" s="49"/>
      <c r="C4" s="49"/>
      <c r="D4" s="49"/>
      <c r="E4" s="49"/>
      <c r="F4" s="49"/>
      <c r="G4" s="49"/>
      <c r="H4" s="49"/>
      <c r="I4" s="49"/>
      <c r="J4" s="49"/>
      <c r="K4" s="49"/>
      <c r="L4" s="49"/>
      <c r="M4" s="49"/>
    </row>
    <row r="5" spans="1:13" x14ac:dyDescent="0.35">
      <c r="A5" s="49"/>
      <c r="B5" s="49"/>
      <c r="C5" s="49"/>
      <c r="D5" s="49"/>
      <c r="E5" s="49"/>
      <c r="F5" s="49"/>
      <c r="G5" s="49"/>
      <c r="H5" s="49"/>
      <c r="I5" s="49"/>
      <c r="J5" s="49"/>
      <c r="K5" s="49"/>
      <c r="L5" s="49"/>
      <c r="M5" s="49"/>
    </row>
    <row r="6" spans="1:13" x14ac:dyDescent="0.35">
      <c r="A6" s="49"/>
      <c r="B6" s="49"/>
      <c r="C6" s="49"/>
      <c r="D6" s="49"/>
      <c r="E6" s="49"/>
      <c r="F6" s="49"/>
      <c r="G6" s="49"/>
      <c r="H6" s="49"/>
      <c r="I6" s="49"/>
      <c r="J6" s="49"/>
      <c r="K6" s="49"/>
      <c r="L6" s="49"/>
      <c r="M6" s="49"/>
    </row>
    <row r="7" spans="1:13" x14ac:dyDescent="0.35">
      <c r="A7" s="49"/>
      <c r="B7" s="49"/>
      <c r="C7" s="49"/>
      <c r="D7" s="49"/>
      <c r="E7" s="49"/>
      <c r="F7" s="49"/>
      <c r="G7" s="49"/>
      <c r="H7" s="49"/>
      <c r="I7" s="49"/>
      <c r="J7" s="49"/>
      <c r="K7" s="49"/>
      <c r="L7" s="49"/>
      <c r="M7" s="49"/>
    </row>
    <row r="8" spans="1:13" x14ac:dyDescent="0.35">
      <c r="A8" s="49"/>
      <c r="B8" s="49"/>
      <c r="C8" s="49"/>
      <c r="D8" s="49"/>
      <c r="E8" s="49"/>
      <c r="F8" s="49"/>
      <c r="G8" s="49"/>
      <c r="H8" s="49"/>
      <c r="I8" s="49"/>
      <c r="J8" s="49"/>
      <c r="K8" s="49"/>
      <c r="L8" s="49"/>
      <c r="M8" s="49"/>
    </row>
    <row r="9" spans="1:13" x14ac:dyDescent="0.35">
      <c r="A9" s="49"/>
      <c r="B9" s="49"/>
      <c r="C9" s="49"/>
      <c r="D9" s="49"/>
      <c r="E9" s="49"/>
      <c r="F9" s="49"/>
      <c r="G9" s="49"/>
      <c r="H9" s="49"/>
      <c r="I9" s="49"/>
      <c r="J9" s="49"/>
      <c r="K9" s="49"/>
      <c r="L9" s="49"/>
      <c r="M9" s="49"/>
    </row>
    <row r="10" spans="1:13" x14ac:dyDescent="0.35">
      <c r="A10" s="49"/>
      <c r="B10" s="49"/>
      <c r="C10" s="49"/>
      <c r="D10" s="49"/>
      <c r="E10" s="49"/>
      <c r="F10" s="49"/>
      <c r="G10" s="49"/>
      <c r="H10" s="49"/>
      <c r="I10" s="49"/>
      <c r="J10" s="49"/>
      <c r="K10" s="49"/>
      <c r="L10" s="49"/>
      <c r="M10" s="49"/>
    </row>
    <row r="11" spans="1:13" x14ac:dyDescent="0.35">
      <c r="A11" s="49"/>
      <c r="B11" s="49"/>
      <c r="C11" s="49"/>
      <c r="D11" s="49"/>
      <c r="E11" s="49"/>
      <c r="F11" s="49"/>
      <c r="G11" s="49"/>
      <c r="H11" s="49"/>
      <c r="I11" s="49"/>
      <c r="J11" s="49"/>
      <c r="K11" s="49"/>
      <c r="L11" s="49"/>
      <c r="M11" s="49"/>
    </row>
    <row r="12" spans="1:13" x14ac:dyDescent="0.35">
      <c r="A12" s="49"/>
      <c r="B12" s="49"/>
      <c r="C12" s="49"/>
      <c r="D12" s="49"/>
      <c r="E12" s="49"/>
      <c r="F12" s="49"/>
      <c r="G12" s="49"/>
      <c r="H12" s="49"/>
      <c r="I12" s="49"/>
      <c r="J12" s="49"/>
      <c r="K12" s="49"/>
      <c r="L12" s="49"/>
      <c r="M12" s="49"/>
    </row>
    <row r="13" spans="1:13" x14ac:dyDescent="0.35">
      <c r="A13" s="49"/>
      <c r="B13" s="49"/>
      <c r="C13" s="49"/>
      <c r="D13" s="49"/>
      <c r="E13" s="49"/>
      <c r="F13" s="49"/>
      <c r="G13" s="49"/>
      <c r="H13" s="49"/>
      <c r="I13" s="49"/>
      <c r="J13" s="49"/>
      <c r="K13" s="49"/>
      <c r="L13" s="49"/>
      <c r="M13" s="49"/>
    </row>
    <row r="14" spans="1:13" x14ac:dyDescent="0.35">
      <c r="A14" s="49"/>
      <c r="B14" s="49"/>
      <c r="C14" s="49"/>
      <c r="D14" s="49"/>
      <c r="E14" s="49"/>
      <c r="F14" s="49"/>
      <c r="G14" s="49"/>
      <c r="H14" s="49"/>
      <c r="I14" s="49"/>
      <c r="J14" s="49"/>
      <c r="K14" s="49"/>
      <c r="L14" s="49"/>
      <c r="M14" s="49"/>
    </row>
    <row r="15" spans="1:13" x14ac:dyDescent="0.35">
      <c r="A15" s="49"/>
      <c r="B15" s="49"/>
      <c r="C15" s="49"/>
      <c r="D15" s="49"/>
      <c r="E15" s="49"/>
      <c r="F15" s="49"/>
      <c r="G15" s="49"/>
      <c r="H15" s="49"/>
      <c r="I15" s="49"/>
      <c r="J15" s="49"/>
      <c r="K15" s="49"/>
      <c r="L15" s="49"/>
      <c r="M15" s="49"/>
    </row>
    <row r="16" spans="1:13" x14ac:dyDescent="0.35">
      <c r="A16" s="49"/>
      <c r="B16" s="49"/>
      <c r="C16" s="49"/>
      <c r="D16" s="49"/>
      <c r="E16" s="49"/>
      <c r="F16" s="49"/>
      <c r="G16" s="49"/>
      <c r="H16" s="49"/>
      <c r="I16" s="49"/>
      <c r="J16" s="49"/>
      <c r="K16" s="49"/>
      <c r="L16" s="49"/>
      <c r="M16" s="49"/>
    </row>
    <row r="17" spans="1:13" x14ac:dyDescent="0.35">
      <c r="A17" s="49"/>
      <c r="B17" s="49"/>
      <c r="C17" s="49"/>
      <c r="D17" s="49"/>
      <c r="E17" s="49"/>
      <c r="F17" s="49"/>
      <c r="G17" s="49"/>
      <c r="H17" s="49"/>
      <c r="I17" s="49"/>
      <c r="J17" s="49"/>
      <c r="K17" s="49"/>
      <c r="L17" s="49"/>
      <c r="M17" s="49"/>
    </row>
    <row r="18" spans="1:13" x14ac:dyDescent="0.35">
      <c r="A18" s="49"/>
      <c r="B18" s="49"/>
      <c r="C18" s="49"/>
      <c r="D18" s="49"/>
      <c r="E18" s="49"/>
      <c r="F18" s="49"/>
      <c r="G18" s="49"/>
      <c r="H18" s="49"/>
      <c r="I18" s="49"/>
      <c r="J18" s="49"/>
      <c r="K18" s="49"/>
      <c r="L18" s="49"/>
      <c r="M18" s="49"/>
    </row>
    <row r="19" spans="1:13" x14ac:dyDescent="0.35">
      <c r="A19" s="49"/>
      <c r="B19" s="49"/>
      <c r="C19" s="49"/>
      <c r="D19" s="49"/>
      <c r="E19" s="49"/>
      <c r="F19" s="49"/>
      <c r="G19" s="49"/>
      <c r="H19" s="49"/>
      <c r="I19" s="49"/>
      <c r="J19" s="49"/>
      <c r="K19" s="49"/>
      <c r="L19" s="49"/>
      <c r="M19" s="49"/>
    </row>
    <row r="20" spans="1:13" x14ac:dyDescent="0.35">
      <c r="A20" s="49"/>
      <c r="B20" s="49"/>
      <c r="C20" s="49"/>
      <c r="D20" s="49"/>
      <c r="E20" s="49"/>
      <c r="F20" s="49"/>
      <c r="G20" s="49"/>
      <c r="H20" s="49"/>
      <c r="I20" s="49"/>
      <c r="J20" s="49"/>
      <c r="K20" s="49"/>
      <c r="L20" s="49"/>
      <c r="M20" s="49"/>
    </row>
    <row r="21" spans="1:13" x14ac:dyDescent="0.35">
      <c r="A21" s="49"/>
      <c r="B21" s="49"/>
      <c r="C21" s="49"/>
      <c r="D21" s="49"/>
      <c r="E21" s="49"/>
      <c r="F21" s="49"/>
      <c r="G21" s="49"/>
      <c r="H21" s="49"/>
      <c r="I21" s="49"/>
      <c r="J21" s="49"/>
      <c r="K21" s="49"/>
      <c r="L21" s="49"/>
      <c r="M21" s="49"/>
    </row>
    <row r="22" spans="1:13" x14ac:dyDescent="0.35">
      <c r="A22" s="49"/>
      <c r="B22" s="49"/>
      <c r="C22" s="49"/>
      <c r="D22" s="49"/>
      <c r="E22" s="49"/>
      <c r="F22" s="49"/>
      <c r="G22" s="49"/>
      <c r="H22" s="49"/>
      <c r="I22" s="49"/>
      <c r="J22" s="49"/>
      <c r="K22" s="49"/>
      <c r="L22" s="49"/>
      <c r="M22" s="49"/>
    </row>
    <row r="23" spans="1:13" x14ac:dyDescent="0.35">
      <c r="A23" s="49"/>
      <c r="B23" s="49"/>
      <c r="C23" s="49"/>
      <c r="D23" s="49"/>
      <c r="E23" s="49"/>
      <c r="F23" s="49"/>
      <c r="G23" s="49"/>
      <c r="H23" s="49"/>
      <c r="I23" s="49"/>
      <c r="J23" s="49"/>
      <c r="K23" s="49"/>
      <c r="L23" s="49"/>
      <c r="M23" s="49"/>
    </row>
    <row r="24" spans="1:13" x14ac:dyDescent="0.35">
      <c r="A24" s="49"/>
      <c r="B24" s="49"/>
      <c r="C24" s="49"/>
      <c r="D24" s="49"/>
      <c r="E24" s="49"/>
      <c r="F24" s="49"/>
      <c r="G24" s="49"/>
      <c r="H24" s="49"/>
      <c r="I24" s="49"/>
      <c r="J24" s="49"/>
      <c r="K24" s="49"/>
      <c r="L24" s="49"/>
      <c r="M24" s="49"/>
    </row>
    <row r="25" spans="1:13" x14ac:dyDescent="0.35">
      <c r="A25" s="49"/>
      <c r="B25" s="49"/>
      <c r="C25" s="49"/>
      <c r="D25" s="49"/>
      <c r="E25" s="49"/>
      <c r="F25" s="49"/>
      <c r="G25" s="49"/>
      <c r="H25" s="49"/>
      <c r="I25" s="49"/>
      <c r="J25" s="49"/>
      <c r="K25" s="49"/>
      <c r="L25" s="49"/>
      <c r="M25" s="49"/>
    </row>
    <row r="26" spans="1:13" x14ac:dyDescent="0.35">
      <c r="A26" s="49"/>
      <c r="B26" s="49"/>
      <c r="C26" s="49"/>
      <c r="D26" s="49"/>
      <c r="E26" s="49"/>
      <c r="F26" s="49"/>
      <c r="G26" s="49"/>
      <c r="H26" s="49"/>
      <c r="I26" s="49"/>
      <c r="J26" s="49"/>
      <c r="K26" s="49"/>
      <c r="L26" s="49"/>
      <c r="M26" s="49"/>
    </row>
    <row r="27" spans="1:13" x14ac:dyDescent="0.35">
      <c r="A27" s="49"/>
      <c r="B27" s="49"/>
      <c r="C27" s="49"/>
      <c r="D27" s="49"/>
      <c r="E27" s="49"/>
      <c r="F27" s="49"/>
      <c r="G27" s="49"/>
      <c r="H27" s="49"/>
      <c r="I27" s="49"/>
      <c r="J27" s="49"/>
      <c r="K27" s="49"/>
      <c r="L27" s="49"/>
      <c r="M27" s="49"/>
    </row>
    <row r="28" spans="1:13" x14ac:dyDescent="0.35">
      <c r="A28" s="49"/>
      <c r="B28" s="49"/>
      <c r="C28" s="49"/>
      <c r="D28" s="49"/>
      <c r="E28" s="49"/>
      <c r="F28" s="49"/>
      <c r="G28" s="49"/>
      <c r="H28" s="49"/>
      <c r="I28" s="49"/>
      <c r="J28" s="49"/>
      <c r="K28" s="49"/>
      <c r="L28" s="49"/>
      <c r="M28" s="49"/>
    </row>
    <row r="29" spans="1:13" x14ac:dyDescent="0.35">
      <c r="A29" s="49"/>
      <c r="B29" s="49"/>
      <c r="C29" s="49"/>
      <c r="D29" s="49"/>
      <c r="E29" s="49"/>
      <c r="F29" s="49"/>
      <c r="G29" s="49"/>
      <c r="H29" s="49"/>
      <c r="I29" s="49"/>
      <c r="J29" s="49"/>
      <c r="K29" s="49"/>
      <c r="L29" s="49"/>
      <c r="M29" s="49"/>
    </row>
    <row r="30" spans="1:13" x14ac:dyDescent="0.35">
      <c r="A30" s="49"/>
      <c r="B30" s="49"/>
      <c r="C30" s="49"/>
      <c r="D30" s="49"/>
      <c r="E30" s="49"/>
      <c r="F30" s="49"/>
      <c r="G30" s="49"/>
      <c r="H30" s="49"/>
      <c r="I30" s="49"/>
      <c r="J30" s="49"/>
      <c r="K30" s="49"/>
      <c r="L30" s="49"/>
      <c r="M30" s="49"/>
    </row>
    <row r="31" spans="1:13" x14ac:dyDescent="0.35">
      <c r="A31" s="49"/>
      <c r="B31" s="49"/>
      <c r="C31" s="49"/>
      <c r="D31" s="49"/>
      <c r="E31" s="49"/>
      <c r="F31" s="49"/>
      <c r="G31" s="49"/>
      <c r="H31" s="49"/>
      <c r="I31" s="49"/>
      <c r="J31" s="49"/>
      <c r="K31" s="49"/>
      <c r="L31" s="49"/>
      <c r="M31" s="49"/>
    </row>
    <row r="32" spans="1:13" x14ac:dyDescent="0.35">
      <c r="A32" s="49"/>
      <c r="B32" s="49"/>
      <c r="C32" s="49"/>
      <c r="D32" s="49"/>
      <c r="E32" s="49"/>
      <c r="F32" s="49"/>
      <c r="G32" s="49"/>
      <c r="H32" s="49"/>
      <c r="I32" s="49"/>
      <c r="J32" s="49"/>
      <c r="K32" s="49"/>
      <c r="L32" s="49"/>
      <c r="M32" s="49"/>
    </row>
    <row r="33" spans="1:13" x14ac:dyDescent="0.35">
      <c r="A33" s="49"/>
      <c r="B33" s="49"/>
      <c r="C33" s="49"/>
      <c r="D33" s="49"/>
      <c r="E33" s="49"/>
      <c r="F33" s="49"/>
      <c r="G33" s="49"/>
      <c r="H33" s="49"/>
      <c r="I33" s="49"/>
      <c r="J33" s="49"/>
      <c r="K33" s="49"/>
      <c r="L33" s="49"/>
      <c r="M33" s="49"/>
    </row>
    <row r="34" spans="1:13" x14ac:dyDescent="0.35">
      <c r="A34" s="49"/>
      <c r="B34" s="49"/>
      <c r="C34" s="49"/>
      <c r="D34" s="49"/>
      <c r="E34" s="49"/>
      <c r="F34" s="49"/>
      <c r="G34" s="49"/>
      <c r="H34" s="49"/>
      <c r="I34" s="49"/>
      <c r="J34" s="49"/>
      <c r="K34" s="49"/>
      <c r="L34" s="49"/>
      <c r="M34" s="49"/>
    </row>
    <row r="35" spans="1:13" x14ac:dyDescent="0.35">
      <c r="A35" s="49"/>
      <c r="B35" s="49"/>
      <c r="C35" s="49"/>
      <c r="D35" s="49"/>
      <c r="E35" s="49"/>
      <c r="F35" s="49"/>
      <c r="G35" s="49"/>
      <c r="H35" s="49"/>
      <c r="I35" s="49"/>
      <c r="J35" s="49"/>
      <c r="K35" s="49"/>
      <c r="L35" s="49"/>
      <c r="M35" s="49"/>
    </row>
  </sheetData>
  <mergeCells count="1">
    <mergeCell ref="A2:M3"/>
  </mergeCells>
  <printOptions horizontalCentered="1"/>
  <pageMargins left="0.7" right="0.7" top="0.45" bottom="0.28000000000000003" header="0.25" footer="0.2"/>
  <pageSetup orientation="landscape" r:id="rId1"/>
  <headerFooter differentFirst="1">
    <oddFooter>&amp;CPage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BR1649"/>
  <sheetViews>
    <sheetView tabSelected="1" zoomScale="85" zoomScaleNormal="85" workbookViewId="0">
      <pane ySplit="4" topLeftCell="A488" activePane="bottomLeft" state="frozen"/>
      <selection activeCell="F24" sqref="F24"/>
      <selection pane="bottomLeft" activeCell="B496" sqref="B496"/>
    </sheetView>
  </sheetViews>
  <sheetFormatPr defaultRowHeight="14.5" x14ac:dyDescent="0.35"/>
  <cols>
    <col min="1" max="1" width="12.26953125" style="2" bestFit="1" customWidth="1"/>
    <col min="2" max="2" width="29.1796875" style="2" customWidth="1"/>
    <col min="3" max="4" width="9.7265625" style="62" customWidth="1"/>
    <col min="5" max="5" width="10.7265625" style="62" customWidth="1"/>
    <col min="6" max="6" width="11.1796875" style="62" bestFit="1" customWidth="1"/>
    <col min="7" max="7" width="10.1796875" style="50" bestFit="1" customWidth="1"/>
    <col min="8" max="8" width="11.7265625" style="62" bestFit="1" customWidth="1"/>
    <col min="9" max="9" width="16.7265625" style="62" customWidth="1"/>
    <col min="10" max="10" width="8.7265625" style="62" bestFit="1" customWidth="1"/>
    <col min="11" max="12" width="12.54296875" style="2" bestFit="1" customWidth="1"/>
    <col min="13" max="13" width="15.7265625" style="2" customWidth="1"/>
    <col min="14" max="14" width="14.7265625" style="197" customWidth="1"/>
    <col min="15" max="15" width="23.6328125" customWidth="1"/>
    <col min="20" max="20" width="6.7265625" bestFit="1" customWidth="1"/>
    <col min="21" max="21" width="12.54296875" bestFit="1" customWidth="1"/>
    <col min="22" max="22" width="6.7265625" bestFit="1" customWidth="1"/>
    <col min="23" max="23" width="12.54296875" bestFit="1" customWidth="1"/>
    <col min="24" max="24" width="6.7265625" bestFit="1" customWidth="1"/>
    <col min="25" max="25" width="12.54296875" bestFit="1" customWidth="1"/>
    <col min="26" max="26" width="6.7265625" bestFit="1" customWidth="1"/>
    <col min="27" max="27" width="12.54296875" bestFit="1" customWidth="1"/>
    <col min="28" max="28" width="6.7265625" bestFit="1" customWidth="1"/>
    <col min="29" max="29" width="12.54296875" bestFit="1" customWidth="1"/>
    <col min="30" max="30" width="6.7265625" bestFit="1" customWidth="1"/>
    <col min="31" max="31" width="12.54296875" bestFit="1" customWidth="1"/>
    <col min="32" max="32" width="6.7265625" bestFit="1" customWidth="1"/>
    <col min="33" max="33" width="12.54296875" bestFit="1" customWidth="1"/>
    <col min="34" max="34" width="6.7265625" bestFit="1" customWidth="1"/>
    <col min="35" max="35" width="12.54296875" bestFit="1" customWidth="1"/>
    <col min="36" max="36" width="7.1796875" bestFit="1" customWidth="1"/>
    <col min="37" max="37" width="13.1796875" bestFit="1" customWidth="1"/>
    <col min="38" max="38" width="7.1796875" bestFit="1" customWidth="1"/>
    <col min="39" max="39" width="13.1796875" bestFit="1" customWidth="1"/>
    <col min="41" max="41" width="6.7265625" bestFit="1" customWidth="1"/>
    <col min="42" max="42" width="10.54296875" bestFit="1" customWidth="1"/>
    <col min="43" max="43" width="4.26953125" style="49" bestFit="1" customWidth="1"/>
    <col min="44" max="44" width="6.7265625" bestFit="1" customWidth="1"/>
    <col min="45" max="45" width="10.54296875" bestFit="1" customWidth="1"/>
    <col min="46" max="46" width="4.26953125" style="49" bestFit="1" customWidth="1"/>
    <col min="47" max="47" width="6.7265625" bestFit="1" customWidth="1"/>
    <col min="48" max="48" width="10.54296875" bestFit="1" customWidth="1"/>
    <col min="49" max="49" width="4.26953125" style="49" bestFit="1" customWidth="1"/>
    <col min="50" max="50" width="6.7265625" bestFit="1" customWidth="1"/>
    <col min="51" max="51" width="10.54296875" bestFit="1" customWidth="1"/>
    <col min="52" max="52" width="4.26953125" style="49" bestFit="1" customWidth="1"/>
    <col min="53" max="53" width="6.7265625" bestFit="1" customWidth="1"/>
    <col min="54" max="54" width="10.54296875" bestFit="1" customWidth="1"/>
    <col min="55" max="55" width="4.26953125" style="49" bestFit="1" customWidth="1"/>
    <col min="56" max="56" width="6.7265625" bestFit="1" customWidth="1"/>
    <col min="57" max="57" width="10.54296875" bestFit="1" customWidth="1"/>
    <col min="58" max="58" width="4.26953125" style="49" bestFit="1" customWidth="1"/>
    <col min="59" max="59" width="6.7265625" bestFit="1" customWidth="1"/>
    <col min="60" max="60" width="10.54296875" bestFit="1" customWidth="1"/>
    <col min="61" max="61" width="4.26953125" style="49" bestFit="1" customWidth="1"/>
    <col min="62" max="62" width="6.7265625" bestFit="1" customWidth="1"/>
    <col min="63" max="63" width="10.54296875" bestFit="1" customWidth="1"/>
    <col min="64" max="64" width="4.26953125" style="49" bestFit="1" customWidth="1"/>
    <col min="65" max="65" width="6.7265625" bestFit="1" customWidth="1"/>
    <col min="66" max="66" width="10.54296875" bestFit="1" customWidth="1"/>
    <col min="67" max="67" width="4.26953125" style="49" bestFit="1" customWidth="1"/>
    <col min="68" max="68" width="6.7265625" bestFit="1" customWidth="1"/>
    <col min="69" max="69" width="10.54296875" bestFit="1" customWidth="1"/>
    <col min="70" max="70" width="4.26953125" style="49" bestFit="1" customWidth="1"/>
    <col min="72" max="72" width="10.453125" bestFit="1" customWidth="1"/>
  </cols>
  <sheetData>
    <row r="1" spans="1:70" ht="23.5" x14ac:dyDescent="0.55000000000000004">
      <c r="A1" s="186" t="s">
        <v>118</v>
      </c>
      <c r="C1" s="201"/>
      <c r="D1" s="201"/>
      <c r="E1" s="201"/>
      <c r="F1" s="201"/>
      <c r="G1" s="186"/>
      <c r="H1" s="201"/>
      <c r="I1" s="201"/>
      <c r="J1" s="186"/>
      <c r="K1" s="186"/>
      <c r="L1" s="186"/>
      <c r="M1" s="186"/>
    </row>
    <row r="2" spans="1:70" s="49" customFormat="1" ht="18.75" customHeight="1" thickBot="1" x14ac:dyDescent="0.4">
      <c r="A2" s="187" t="s">
        <v>109</v>
      </c>
      <c r="B2" s="187"/>
      <c r="C2" s="202"/>
      <c r="D2" s="202"/>
      <c r="E2" s="202"/>
      <c r="F2" s="202"/>
      <c r="G2" s="187"/>
      <c r="H2" s="202"/>
      <c r="I2" s="202"/>
      <c r="J2" s="187"/>
      <c r="K2" s="187"/>
      <c r="L2" s="187"/>
      <c r="M2" s="187"/>
      <c r="N2" s="197"/>
    </row>
    <row r="3" spans="1:70" s="39" customFormat="1" ht="13.5" thickBot="1" x14ac:dyDescent="0.35">
      <c r="A3" s="38"/>
      <c r="B3" s="38"/>
      <c r="C3" s="60"/>
      <c r="D3" s="60"/>
      <c r="E3" s="60"/>
      <c r="F3" s="204"/>
      <c r="G3" s="40" t="s">
        <v>47</v>
      </c>
      <c r="H3" s="60" t="s">
        <v>35</v>
      </c>
      <c r="I3" s="60" t="s">
        <v>36</v>
      </c>
      <c r="J3" s="60"/>
      <c r="K3" s="38" t="s">
        <v>31</v>
      </c>
      <c r="L3" s="38" t="s">
        <v>30</v>
      </c>
      <c r="M3" s="38"/>
      <c r="N3" s="198"/>
      <c r="P3" s="56"/>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c r="BM3" s="58"/>
      <c r="BN3" s="58"/>
      <c r="BO3" s="58"/>
      <c r="BP3" s="58"/>
      <c r="BQ3" s="58"/>
      <c r="BR3" s="58"/>
    </row>
    <row r="4" spans="1:70" s="37" customFormat="1" ht="13" x14ac:dyDescent="0.3">
      <c r="A4" s="36" t="s">
        <v>15</v>
      </c>
      <c r="B4" s="36" t="s">
        <v>23</v>
      </c>
      <c r="C4" s="61" t="s">
        <v>24</v>
      </c>
      <c r="D4" s="61" t="s">
        <v>25</v>
      </c>
      <c r="E4" s="61" t="s">
        <v>26</v>
      </c>
      <c r="F4" s="61" t="s">
        <v>27</v>
      </c>
      <c r="G4" s="57" t="s">
        <v>73</v>
      </c>
      <c r="H4" s="61" t="s">
        <v>28</v>
      </c>
      <c r="I4" s="61" t="s">
        <v>29</v>
      </c>
      <c r="J4" s="61" t="s">
        <v>40</v>
      </c>
      <c r="K4" s="36" t="s">
        <v>33</v>
      </c>
      <c r="L4" s="36" t="s">
        <v>32</v>
      </c>
      <c r="M4" s="36" t="s">
        <v>34</v>
      </c>
      <c r="N4" s="199" t="s">
        <v>1</v>
      </c>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c r="AQ4" s="56"/>
      <c r="AR4" s="56"/>
      <c r="AS4" s="56"/>
      <c r="AT4" s="56"/>
      <c r="AU4" s="56"/>
      <c r="AV4" s="56"/>
      <c r="AW4" s="56"/>
      <c r="AX4" s="56"/>
      <c r="AY4" s="56"/>
      <c r="AZ4" s="56"/>
      <c r="BA4" s="56"/>
      <c r="BB4" s="56"/>
      <c r="BC4" s="56"/>
      <c r="BD4" s="56"/>
      <c r="BE4" s="56"/>
      <c r="BF4" s="56"/>
      <c r="BG4" s="56"/>
      <c r="BH4" s="56"/>
      <c r="BI4" s="56"/>
      <c r="BJ4" s="56"/>
      <c r="BK4" s="56"/>
      <c r="BL4" s="56"/>
      <c r="BM4" s="56"/>
      <c r="BN4" s="56"/>
      <c r="BO4" s="56"/>
      <c r="BP4" s="56"/>
      <c r="BQ4" s="56"/>
      <c r="BR4" s="56"/>
    </row>
    <row r="5" spans="1:70" s="58" customFormat="1" ht="13" x14ac:dyDescent="0.3">
      <c r="A5" s="58">
        <v>968900</v>
      </c>
      <c r="B5" s="56" t="s">
        <v>119</v>
      </c>
      <c r="C5" s="203">
        <v>246</v>
      </c>
      <c r="D5" s="203">
        <v>380</v>
      </c>
      <c r="E5" s="203">
        <v>5192</v>
      </c>
      <c r="F5" s="203">
        <v>134</v>
      </c>
      <c r="G5" s="56"/>
      <c r="H5" s="203">
        <v>6877</v>
      </c>
      <c r="I5" s="203">
        <v>6877</v>
      </c>
      <c r="J5" s="56" t="s">
        <v>42</v>
      </c>
      <c r="K5" s="56">
        <v>3</v>
      </c>
      <c r="L5" s="56"/>
      <c r="M5" s="56"/>
      <c r="N5" s="200">
        <v>43101</v>
      </c>
      <c r="O5" s="56" t="s">
        <v>510</v>
      </c>
      <c r="P5" s="56">
        <v>43.5</v>
      </c>
      <c r="Q5" s="56"/>
      <c r="R5" s="56"/>
      <c r="S5" s="56"/>
      <c r="T5" s="56"/>
      <c r="U5" s="56"/>
      <c r="V5" s="56"/>
      <c r="W5" s="56"/>
      <c r="X5" s="56"/>
      <c r="Y5" s="56"/>
      <c r="Z5" s="56"/>
      <c r="AA5" s="56"/>
      <c r="AB5" s="56"/>
      <c r="AC5" s="56"/>
      <c r="AD5" s="56"/>
      <c r="AE5" s="56"/>
      <c r="AF5" s="56"/>
      <c r="AG5" s="56"/>
      <c r="AH5" s="56"/>
      <c r="AI5" s="56"/>
      <c r="AJ5" s="56"/>
      <c r="AK5" s="56"/>
      <c r="AL5" s="56"/>
      <c r="AM5" s="56"/>
      <c r="AN5" s="56"/>
      <c r="AO5" s="56"/>
      <c r="AP5" s="56"/>
      <c r="AQ5" s="56"/>
      <c r="AR5" s="56"/>
      <c r="AS5" s="56"/>
      <c r="AT5" s="56"/>
      <c r="AU5" s="56"/>
      <c r="AV5" s="56"/>
      <c r="AW5" s="56"/>
      <c r="AX5" s="56"/>
      <c r="AY5" s="56"/>
      <c r="AZ5" s="56"/>
      <c r="BA5" s="56"/>
      <c r="BB5" s="56"/>
      <c r="BC5" s="56"/>
      <c r="BD5" s="56"/>
      <c r="BE5" s="56"/>
      <c r="BF5" s="56"/>
      <c r="BG5" s="56"/>
      <c r="BH5" s="56"/>
      <c r="BI5" s="56"/>
      <c r="BJ5" s="56"/>
      <c r="BK5" s="56"/>
      <c r="BL5" s="56"/>
      <c r="BM5" s="56"/>
      <c r="BN5" s="56"/>
      <c r="BO5" s="56"/>
      <c r="BP5" s="56"/>
    </row>
    <row r="6" spans="1:70" s="58" customFormat="1" ht="13" x14ac:dyDescent="0.3">
      <c r="A6" s="58">
        <v>968900</v>
      </c>
      <c r="B6" s="56" t="s">
        <v>120</v>
      </c>
      <c r="C6" s="203">
        <v>185</v>
      </c>
      <c r="D6" s="203">
        <v>345</v>
      </c>
      <c r="E6" s="203">
        <v>5557</v>
      </c>
      <c r="F6" s="203">
        <v>160</v>
      </c>
      <c r="G6" s="56"/>
      <c r="H6" s="203">
        <v>4784.1721854304633</v>
      </c>
      <c r="I6" s="203">
        <v>4784.1721854304633</v>
      </c>
      <c r="J6" s="56" t="s">
        <v>42</v>
      </c>
      <c r="K6" s="56">
        <v>3</v>
      </c>
      <c r="L6" s="56"/>
      <c r="M6" s="56"/>
      <c r="N6" s="200">
        <v>43101</v>
      </c>
      <c r="O6" s="56" t="s">
        <v>510</v>
      </c>
      <c r="P6" s="56">
        <v>76</v>
      </c>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c r="BL6" s="56"/>
      <c r="BM6" s="56"/>
      <c r="BN6" s="56"/>
      <c r="BO6" s="56"/>
      <c r="BP6" s="56"/>
    </row>
    <row r="7" spans="1:70" s="58" customFormat="1" ht="13" x14ac:dyDescent="0.3">
      <c r="A7" s="58">
        <v>968900</v>
      </c>
      <c r="B7" s="56" t="s">
        <v>122</v>
      </c>
      <c r="C7" s="203">
        <v>0</v>
      </c>
      <c r="D7" s="203">
        <v>40</v>
      </c>
      <c r="E7" s="203">
        <v>1437</v>
      </c>
      <c r="F7" s="203">
        <v>40</v>
      </c>
      <c r="G7" s="56"/>
      <c r="H7" s="203">
        <v>1237.1523178807947</v>
      </c>
      <c r="I7" s="203">
        <v>1237.1523178807947</v>
      </c>
      <c r="J7" s="56" t="s">
        <v>42</v>
      </c>
      <c r="K7" s="56">
        <v>3</v>
      </c>
      <c r="L7" s="56"/>
      <c r="M7" s="56"/>
      <c r="N7" s="200">
        <v>43101</v>
      </c>
      <c r="O7" s="56" t="s">
        <v>524</v>
      </c>
      <c r="P7" s="56">
        <v>35</v>
      </c>
      <c r="Q7" s="56"/>
      <c r="R7" s="56"/>
      <c r="S7" s="56"/>
      <c r="T7" s="56"/>
      <c r="U7" s="56"/>
      <c r="V7" s="56"/>
      <c r="W7" s="56"/>
      <c r="X7" s="56"/>
      <c r="Y7" s="56"/>
      <c r="Z7" s="56"/>
      <c r="AA7" s="56"/>
      <c r="AB7" s="56"/>
      <c r="AC7" s="56"/>
      <c r="AD7" s="56"/>
      <c r="AE7" s="56"/>
      <c r="AF7" s="56"/>
      <c r="AG7" s="56"/>
      <c r="AH7" s="56"/>
      <c r="AI7" s="56"/>
      <c r="AJ7" s="56"/>
      <c r="AK7" s="56"/>
      <c r="AL7" s="56"/>
      <c r="AM7" s="56"/>
      <c r="AN7" s="56"/>
      <c r="AO7" s="56"/>
      <c r="AP7" s="56"/>
      <c r="AQ7" s="56"/>
      <c r="AR7" s="56"/>
      <c r="AS7" s="56"/>
      <c r="AT7" s="56"/>
      <c r="AU7" s="56"/>
      <c r="AV7" s="56"/>
      <c r="AW7" s="56"/>
      <c r="AX7" s="56"/>
      <c r="AY7" s="56"/>
      <c r="AZ7" s="56"/>
      <c r="BA7" s="56"/>
      <c r="BB7" s="56"/>
      <c r="BC7" s="56"/>
      <c r="BD7" s="56"/>
      <c r="BE7" s="56"/>
      <c r="BF7" s="56"/>
      <c r="BG7" s="56"/>
      <c r="BH7" s="56"/>
      <c r="BI7" s="56"/>
      <c r="BJ7" s="56"/>
      <c r="BK7" s="56"/>
      <c r="BL7" s="56"/>
      <c r="BM7" s="56"/>
      <c r="BN7" s="56"/>
      <c r="BO7" s="56"/>
      <c r="BP7" s="56"/>
    </row>
    <row r="8" spans="1:70" s="58" customFormat="1" ht="13" x14ac:dyDescent="0.3">
      <c r="A8" s="58">
        <v>968900</v>
      </c>
      <c r="B8" s="56" t="s">
        <v>122</v>
      </c>
      <c r="C8" s="203">
        <v>0</v>
      </c>
      <c r="D8" s="203">
        <v>123</v>
      </c>
      <c r="E8" s="203">
        <v>5098</v>
      </c>
      <c r="F8" s="203">
        <v>123</v>
      </c>
      <c r="G8" s="56"/>
      <c r="H8" s="203">
        <v>4389.0066225165565</v>
      </c>
      <c r="I8" s="203">
        <v>4389.0066225165565</v>
      </c>
      <c r="J8" s="56" t="s">
        <v>42</v>
      </c>
      <c r="K8" s="56">
        <v>3</v>
      </c>
      <c r="L8" s="56"/>
      <c r="M8" s="56"/>
      <c r="N8" s="200">
        <v>43101</v>
      </c>
      <c r="O8" s="56" t="s">
        <v>524</v>
      </c>
      <c r="P8" s="56">
        <v>43.5</v>
      </c>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6"/>
      <c r="BP8" s="56"/>
    </row>
    <row r="9" spans="1:70" s="58" customFormat="1" ht="13" x14ac:dyDescent="0.3">
      <c r="A9" s="58">
        <v>968900</v>
      </c>
      <c r="B9" s="56" t="s">
        <v>125</v>
      </c>
      <c r="C9" s="203"/>
      <c r="D9" s="203"/>
      <c r="E9" s="203">
        <v>6070</v>
      </c>
      <c r="F9" s="203">
        <v>0</v>
      </c>
      <c r="G9" s="56"/>
      <c r="H9" s="203">
        <v>5225.8278145695367</v>
      </c>
      <c r="I9" s="203">
        <v>5225.8278145695367</v>
      </c>
      <c r="J9" s="56" t="s">
        <v>42</v>
      </c>
      <c r="K9" s="56">
        <v>3</v>
      </c>
      <c r="L9" s="56"/>
      <c r="M9" s="56"/>
      <c r="N9" s="200">
        <v>43132</v>
      </c>
      <c r="O9" s="56" t="s">
        <v>524</v>
      </c>
      <c r="P9" s="56">
        <v>76</v>
      </c>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T9" s="56"/>
      <c r="AU9" s="56"/>
      <c r="AV9" s="56"/>
      <c r="AW9" s="56"/>
      <c r="AX9" s="56"/>
      <c r="AY9" s="56"/>
      <c r="AZ9" s="56"/>
      <c r="BA9" s="56"/>
      <c r="BB9" s="56"/>
      <c r="BC9" s="56"/>
      <c r="BD9" s="56"/>
      <c r="BE9" s="56"/>
      <c r="BF9" s="56"/>
      <c r="BG9" s="56"/>
      <c r="BH9" s="56"/>
      <c r="BI9" s="56"/>
      <c r="BJ9" s="56"/>
      <c r="BK9" s="56"/>
      <c r="BL9" s="56"/>
      <c r="BM9" s="56"/>
      <c r="BN9" s="56"/>
      <c r="BO9" s="56"/>
      <c r="BP9" s="56"/>
    </row>
    <row r="10" spans="1:70" s="58" customFormat="1" ht="13" x14ac:dyDescent="0.3">
      <c r="A10" s="58">
        <v>968900</v>
      </c>
      <c r="B10" s="56" t="s">
        <v>124</v>
      </c>
      <c r="C10" s="203"/>
      <c r="D10" s="203"/>
      <c r="E10" s="203">
        <v>69</v>
      </c>
      <c r="F10" s="203">
        <v>0</v>
      </c>
      <c r="G10" s="56"/>
      <c r="H10" s="203">
        <v>59.403973509933778</v>
      </c>
      <c r="I10" s="203">
        <v>59.403973509933778</v>
      </c>
      <c r="J10" s="56" t="s">
        <v>42</v>
      </c>
      <c r="K10" s="56">
        <v>3</v>
      </c>
      <c r="L10" s="56"/>
      <c r="M10" s="56"/>
      <c r="N10" s="200">
        <v>43132</v>
      </c>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T10" s="56"/>
      <c r="AU10" s="56"/>
      <c r="AV10" s="56"/>
      <c r="AW10" s="56"/>
      <c r="AX10" s="56"/>
      <c r="AY10" s="56"/>
      <c r="AZ10" s="56"/>
      <c r="BA10" s="56"/>
      <c r="BB10" s="56"/>
      <c r="BC10" s="56"/>
      <c r="BD10" s="56"/>
      <c r="BE10" s="56"/>
      <c r="BF10" s="56"/>
      <c r="BG10" s="56"/>
      <c r="BH10" s="56"/>
      <c r="BI10" s="56"/>
      <c r="BJ10" s="56"/>
      <c r="BK10" s="56"/>
      <c r="BL10" s="56"/>
      <c r="BM10" s="56"/>
      <c r="BN10" s="56"/>
      <c r="BO10" s="56"/>
      <c r="BP10" s="56"/>
    </row>
    <row r="11" spans="1:70" s="58" customFormat="1" ht="13" x14ac:dyDescent="0.3">
      <c r="A11" s="58">
        <v>968900</v>
      </c>
      <c r="B11" s="56" t="s">
        <v>126</v>
      </c>
      <c r="C11" s="203"/>
      <c r="D11" s="203"/>
      <c r="E11" s="203">
        <v>7534</v>
      </c>
      <c r="F11" s="203">
        <v>0</v>
      </c>
      <c r="G11" s="56"/>
      <c r="H11" s="203">
        <v>6236.7549668874171</v>
      </c>
      <c r="I11" s="203">
        <v>6236.7549668874171</v>
      </c>
      <c r="J11" s="56" t="s">
        <v>42</v>
      </c>
      <c r="K11" s="56">
        <v>3</v>
      </c>
      <c r="L11" s="56"/>
      <c r="M11" s="56"/>
      <c r="N11" s="200">
        <v>43132</v>
      </c>
      <c r="O11" s="56"/>
      <c r="P11" s="56"/>
      <c r="Q11" s="56"/>
      <c r="R11" s="56"/>
      <c r="S11" s="56"/>
      <c r="T11" s="56"/>
      <c r="U11" s="56"/>
      <c r="V11" s="56"/>
      <c r="W11" s="56"/>
      <c r="X11" s="56"/>
      <c r="Y11" s="56"/>
      <c r="Z11" s="56"/>
      <c r="AA11" s="56"/>
      <c r="AB11" s="56"/>
      <c r="AC11" s="56"/>
      <c r="AD11" s="56"/>
      <c r="AE11" s="56"/>
      <c r="AF11" s="56"/>
      <c r="AG11" s="56"/>
      <c r="AH11" s="56"/>
      <c r="AI11" s="56"/>
      <c r="AJ11" s="56"/>
      <c r="AK11" s="56"/>
      <c r="AL11" s="56"/>
      <c r="AM11" s="56"/>
      <c r="AN11" s="56"/>
      <c r="AO11" s="56"/>
      <c r="AP11" s="56"/>
      <c r="AQ11" s="56"/>
      <c r="AR11" s="56"/>
      <c r="AS11" s="56"/>
      <c r="AT11" s="56"/>
      <c r="AU11" s="56"/>
      <c r="AV11" s="56"/>
      <c r="AW11" s="56"/>
      <c r="AX11" s="56"/>
      <c r="AY11" s="56"/>
      <c r="AZ11" s="56"/>
      <c r="BA11" s="56"/>
      <c r="BB11" s="56"/>
      <c r="BC11" s="56"/>
      <c r="BD11" s="56"/>
      <c r="BE11" s="56"/>
      <c r="BF11" s="56"/>
      <c r="BG11" s="56"/>
      <c r="BH11" s="56"/>
      <c r="BI11" s="56"/>
      <c r="BJ11" s="56"/>
      <c r="BK11" s="56"/>
      <c r="BL11" s="56"/>
      <c r="BM11" s="56"/>
      <c r="BN11" s="56"/>
      <c r="BO11" s="56"/>
      <c r="BP11" s="56"/>
    </row>
    <row r="12" spans="1:70" s="58" customFormat="1" ht="13" x14ac:dyDescent="0.3">
      <c r="A12" s="58">
        <v>968901</v>
      </c>
      <c r="B12" s="56" t="s">
        <v>123</v>
      </c>
      <c r="C12" s="203"/>
      <c r="D12" s="203"/>
      <c r="E12" s="203">
        <v>1655</v>
      </c>
      <c r="F12" s="203">
        <v>0</v>
      </c>
      <c r="G12" s="56"/>
      <c r="H12" s="203">
        <v>1424.8344370860927</v>
      </c>
      <c r="I12" s="203">
        <v>1424.8344370860927</v>
      </c>
      <c r="J12" s="56" t="s">
        <v>42</v>
      </c>
      <c r="K12" s="56">
        <v>3</v>
      </c>
      <c r="L12" s="56"/>
      <c r="M12" s="56"/>
      <c r="N12" s="200">
        <v>43132</v>
      </c>
      <c r="O12" s="56"/>
      <c r="P12" s="56"/>
      <c r="Q12" s="56"/>
      <c r="R12" s="56"/>
      <c r="S12" s="56"/>
      <c r="T12" s="56"/>
      <c r="U12" s="56"/>
      <c r="V12" s="56"/>
      <c r="W12" s="56"/>
      <c r="X12" s="56"/>
      <c r="Y12" s="56"/>
      <c r="Z12" s="56"/>
      <c r="AA12" s="56"/>
      <c r="AB12" s="56"/>
      <c r="AC12" s="56"/>
      <c r="AD12" s="56"/>
      <c r="AE12" s="56"/>
      <c r="AF12" s="56"/>
      <c r="AG12" s="56"/>
      <c r="AH12" s="56"/>
      <c r="AI12" s="56"/>
      <c r="AJ12" s="56"/>
      <c r="AK12" s="56"/>
      <c r="AL12" s="56"/>
      <c r="AM12" s="56"/>
      <c r="AN12" s="56"/>
      <c r="AO12" s="56"/>
      <c r="AP12" s="56"/>
      <c r="AQ12" s="56"/>
      <c r="AR12" s="56"/>
      <c r="AS12" s="56"/>
      <c r="AT12" s="56"/>
      <c r="AU12" s="56"/>
      <c r="AV12" s="56"/>
      <c r="AW12" s="56"/>
      <c r="AX12" s="56"/>
      <c r="AY12" s="56"/>
      <c r="AZ12" s="56"/>
      <c r="BA12" s="56"/>
      <c r="BB12" s="56"/>
      <c r="BC12" s="56"/>
      <c r="BD12" s="56"/>
      <c r="BE12" s="56"/>
      <c r="BF12" s="56"/>
      <c r="BG12" s="56"/>
      <c r="BH12" s="56"/>
      <c r="BI12" s="56"/>
      <c r="BJ12" s="56"/>
      <c r="BK12" s="56"/>
      <c r="BL12" s="56"/>
      <c r="BM12" s="56"/>
      <c r="BN12" s="56"/>
      <c r="BO12" s="56"/>
      <c r="BP12" s="56"/>
    </row>
    <row r="13" spans="1:70" s="58" customFormat="1" ht="13" x14ac:dyDescent="0.3">
      <c r="A13" s="58">
        <v>968901</v>
      </c>
      <c r="B13" s="56" t="s">
        <v>127</v>
      </c>
      <c r="C13" s="203"/>
      <c r="D13" s="203"/>
      <c r="E13" s="203">
        <v>598</v>
      </c>
      <c r="F13" s="203">
        <v>0</v>
      </c>
      <c r="G13" s="56"/>
      <c r="H13" s="203">
        <v>495.03311258278148</v>
      </c>
      <c r="I13" s="203">
        <v>495.03311258278148</v>
      </c>
      <c r="J13" s="56" t="s">
        <v>42</v>
      </c>
      <c r="K13" s="56">
        <v>3</v>
      </c>
      <c r="L13" s="56"/>
      <c r="M13" s="56"/>
      <c r="N13" s="200">
        <v>43132</v>
      </c>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c r="BM13" s="56"/>
      <c r="BN13" s="56"/>
      <c r="BO13" s="56"/>
      <c r="BP13" s="56"/>
    </row>
    <row r="14" spans="1:70" s="58" customFormat="1" ht="13" x14ac:dyDescent="0.3">
      <c r="A14" s="58">
        <v>968900</v>
      </c>
      <c r="B14" s="56" t="s">
        <v>137</v>
      </c>
      <c r="C14" s="203"/>
      <c r="D14" s="203"/>
      <c r="E14" s="203"/>
      <c r="F14" s="203">
        <v>0</v>
      </c>
      <c r="G14" s="56"/>
      <c r="H14" s="203">
        <v>0</v>
      </c>
      <c r="I14" s="203">
        <v>0</v>
      </c>
      <c r="J14" s="56"/>
      <c r="K14" s="56"/>
      <c r="L14" s="56"/>
      <c r="M14" s="56"/>
      <c r="N14" s="200">
        <v>43160</v>
      </c>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row>
    <row r="15" spans="1:70" s="58" customFormat="1" ht="13" x14ac:dyDescent="0.3">
      <c r="A15" s="58">
        <v>968901</v>
      </c>
      <c r="B15" s="56" t="s">
        <v>123</v>
      </c>
      <c r="C15" s="203"/>
      <c r="D15" s="203"/>
      <c r="E15" s="203">
        <v>5487</v>
      </c>
      <c r="F15" s="203">
        <v>0</v>
      </c>
      <c r="G15" s="56"/>
      <c r="H15" s="203">
        <v>4723.9072847682119</v>
      </c>
      <c r="I15" s="203">
        <v>4723.9072847682119</v>
      </c>
      <c r="J15" s="56" t="s">
        <v>42</v>
      </c>
      <c r="K15" s="56">
        <v>3</v>
      </c>
      <c r="L15" s="56"/>
      <c r="M15" s="56"/>
      <c r="N15" s="200">
        <v>43160</v>
      </c>
      <c r="O15" s="56" t="s">
        <v>513</v>
      </c>
      <c r="P15" s="56">
        <v>4</v>
      </c>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row>
    <row r="16" spans="1:70" s="58" customFormat="1" ht="13" x14ac:dyDescent="0.3">
      <c r="A16" s="58">
        <v>968901</v>
      </c>
      <c r="B16" s="56" t="s">
        <v>131</v>
      </c>
      <c r="C16" s="203"/>
      <c r="D16" s="203"/>
      <c r="E16" s="203">
        <v>7319</v>
      </c>
      <c r="F16" s="203">
        <v>0</v>
      </c>
      <c r="G16" s="56"/>
      <c r="H16" s="203">
        <v>6301.1258278145697</v>
      </c>
      <c r="I16" s="203">
        <v>6301.1258278145697</v>
      </c>
      <c r="J16" s="56" t="s">
        <v>42</v>
      </c>
      <c r="K16" s="56">
        <v>3</v>
      </c>
      <c r="L16" s="56"/>
      <c r="M16" s="56"/>
      <c r="N16" s="200">
        <v>43160</v>
      </c>
      <c r="O16" s="56" t="s">
        <v>515</v>
      </c>
      <c r="P16" s="56">
        <v>24</v>
      </c>
      <c r="Q16" s="56"/>
      <c r="R16" s="56"/>
      <c r="S16" s="56"/>
      <c r="T16" s="56"/>
      <c r="U16" s="56"/>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c r="BM16" s="56"/>
      <c r="BN16" s="56"/>
      <c r="BO16" s="56"/>
      <c r="BP16" s="56"/>
    </row>
    <row r="17" spans="1:70" s="58" customFormat="1" ht="13" x14ac:dyDescent="0.3">
      <c r="A17" s="58">
        <v>968901</v>
      </c>
      <c r="B17" s="56" t="s">
        <v>132</v>
      </c>
      <c r="C17" s="203"/>
      <c r="D17" s="203"/>
      <c r="E17" s="203">
        <v>1018</v>
      </c>
      <c r="F17" s="203">
        <v>0</v>
      </c>
      <c r="G17" s="56"/>
      <c r="H17" s="203">
        <v>876.42384105960264</v>
      </c>
      <c r="I17" s="203">
        <v>876.42384105960264</v>
      </c>
      <c r="J17" s="56" t="s">
        <v>42</v>
      </c>
      <c r="K17" s="56">
        <v>3</v>
      </c>
      <c r="L17" s="56"/>
      <c r="M17" s="56"/>
      <c r="N17" s="200">
        <v>43160</v>
      </c>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row>
    <row r="18" spans="1:70" s="58" customFormat="1" ht="13" x14ac:dyDescent="0.3">
      <c r="A18" s="58">
        <v>968900</v>
      </c>
      <c r="B18" s="56" t="s">
        <v>138</v>
      </c>
      <c r="C18" s="203"/>
      <c r="D18" s="203"/>
      <c r="E18" s="203">
        <v>4855</v>
      </c>
      <c r="F18" s="203">
        <v>0</v>
      </c>
      <c r="G18" s="56"/>
      <c r="H18" s="203">
        <v>4179.8013245033117</v>
      </c>
      <c r="I18" s="203">
        <v>4179.8013245033117</v>
      </c>
      <c r="J18" s="56" t="s">
        <v>42</v>
      </c>
      <c r="K18" s="56">
        <v>3</v>
      </c>
      <c r="L18" s="56"/>
      <c r="M18" s="56"/>
      <c r="N18" s="200">
        <v>43191</v>
      </c>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56"/>
      <c r="AX18" s="56"/>
      <c r="AY18" s="56"/>
      <c r="AZ18" s="56"/>
      <c r="BA18" s="56"/>
      <c r="BB18" s="56"/>
      <c r="BC18" s="56"/>
      <c r="BD18" s="56"/>
      <c r="BE18" s="56"/>
      <c r="BF18" s="56"/>
      <c r="BG18" s="56"/>
      <c r="BH18" s="56"/>
      <c r="BI18" s="56"/>
      <c r="BJ18" s="56"/>
      <c r="BK18" s="56"/>
      <c r="BL18" s="56"/>
      <c r="BM18" s="56"/>
      <c r="BN18" s="56"/>
      <c r="BO18" s="56"/>
      <c r="BP18" s="56"/>
    </row>
    <row r="19" spans="1:70" s="58" customFormat="1" ht="13" x14ac:dyDescent="0.3">
      <c r="A19" s="58">
        <v>968900</v>
      </c>
      <c r="B19" s="56" t="s">
        <v>139</v>
      </c>
      <c r="C19" s="203"/>
      <c r="D19" s="203"/>
      <c r="E19" s="203">
        <v>9030</v>
      </c>
      <c r="F19" s="203">
        <v>0</v>
      </c>
      <c r="G19" s="56"/>
      <c r="H19" s="203">
        <v>7774.1721854304642</v>
      </c>
      <c r="I19" s="203">
        <v>7774.1721854304642</v>
      </c>
      <c r="J19" s="56" t="s">
        <v>42</v>
      </c>
      <c r="K19" s="56">
        <v>3</v>
      </c>
      <c r="L19" s="56"/>
      <c r="M19" s="56"/>
      <c r="N19" s="200">
        <v>43191</v>
      </c>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56"/>
      <c r="AX19" s="56"/>
      <c r="AY19" s="56"/>
      <c r="AZ19" s="56"/>
      <c r="BA19" s="56"/>
      <c r="BB19" s="56"/>
      <c r="BC19" s="56"/>
      <c r="BD19" s="56"/>
      <c r="BE19" s="56"/>
      <c r="BF19" s="56"/>
      <c r="BG19" s="56"/>
      <c r="BH19" s="56"/>
      <c r="BI19" s="56"/>
      <c r="BJ19" s="56"/>
      <c r="BK19" s="56"/>
      <c r="BL19" s="56"/>
      <c r="BM19" s="56"/>
      <c r="BN19" s="56"/>
      <c r="BO19" s="56"/>
      <c r="BP19" s="56"/>
    </row>
    <row r="20" spans="1:70" s="58" customFormat="1" ht="13" x14ac:dyDescent="0.3">
      <c r="A20" s="58">
        <v>968901</v>
      </c>
      <c r="B20" s="56" t="s">
        <v>132</v>
      </c>
      <c r="C20" s="203"/>
      <c r="D20" s="203"/>
      <c r="E20" s="203">
        <v>8888</v>
      </c>
      <c r="F20" s="203">
        <v>0</v>
      </c>
      <c r="G20" s="56"/>
      <c r="H20" s="203">
        <v>7651.9205298013248</v>
      </c>
      <c r="I20" s="203">
        <v>7651.9205298013248</v>
      </c>
      <c r="J20" s="56" t="s">
        <v>42</v>
      </c>
      <c r="K20" s="56">
        <v>3</v>
      </c>
      <c r="L20" s="56"/>
      <c r="M20" s="56"/>
      <c r="N20" s="200">
        <v>43191</v>
      </c>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56"/>
      <c r="AX20" s="56"/>
      <c r="AY20" s="56"/>
      <c r="AZ20" s="56"/>
      <c r="BA20" s="56"/>
      <c r="BB20" s="56"/>
      <c r="BC20" s="56"/>
      <c r="BD20" s="56"/>
      <c r="BE20" s="56"/>
      <c r="BF20" s="56"/>
      <c r="BG20" s="56"/>
      <c r="BH20" s="56"/>
      <c r="BI20" s="56"/>
      <c r="BJ20" s="56"/>
      <c r="BK20" s="56"/>
      <c r="BL20" s="56"/>
      <c r="BM20" s="56"/>
      <c r="BN20" s="56"/>
      <c r="BO20" s="56"/>
      <c r="BP20" s="56"/>
    </row>
    <row r="21" spans="1:70" s="58" customFormat="1" ht="13" x14ac:dyDescent="0.3">
      <c r="A21" s="58">
        <v>968900</v>
      </c>
      <c r="B21" s="56" t="s">
        <v>139</v>
      </c>
      <c r="C21" s="203"/>
      <c r="D21" s="203"/>
      <c r="E21" s="203">
        <v>7053</v>
      </c>
      <c r="F21" s="203">
        <v>0</v>
      </c>
      <c r="G21" s="56"/>
      <c r="H21" s="203">
        <v>6072.1192052980132</v>
      </c>
      <c r="I21" s="203">
        <v>6072.1192052980132</v>
      </c>
      <c r="J21" s="56" t="s">
        <v>42</v>
      </c>
      <c r="K21" s="56">
        <v>3</v>
      </c>
      <c r="L21" s="56"/>
      <c r="M21" s="56"/>
      <c r="N21" s="200">
        <v>43221</v>
      </c>
      <c r="O21" s="56"/>
      <c r="P21" s="56"/>
      <c r="Q21" s="56"/>
      <c r="R21" s="56"/>
      <c r="S21" s="56"/>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6"/>
      <c r="AR21" s="56"/>
      <c r="AS21" s="56"/>
      <c r="AT21" s="56"/>
      <c r="AU21" s="56"/>
      <c r="AV21" s="56"/>
      <c r="AW21" s="56"/>
      <c r="AX21" s="56"/>
      <c r="AY21" s="56"/>
      <c r="AZ21" s="56"/>
      <c r="BA21" s="56"/>
      <c r="BB21" s="56"/>
      <c r="BC21" s="56"/>
      <c r="BD21" s="56"/>
      <c r="BE21" s="56"/>
      <c r="BF21" s="56"/>
      <c r="BG21" s="56"/>
      <c r="BH21" s="56"/>
      <c r="BI21" s="56"/>
      <c r="BJ21" s="56"/>
      <c r="BK21" s="56"/>
      <c r="BL21" s="56"/>
      <c r="BM21" s="56"/>
      <c r="BN21" s="56"/>
      <c r="BO21" s="56"/>
      <c r="BP21" s="56"/>
    </row>
    <row r="22" spans="1:70" s="58" customFormat="1" ht="13" x14ac:dyDescent="0.3">
      <c r="A22" s="58">
        <v>968900</v>
      </c>
      <c r="B22" s="56" t="s">
        <v>142</v>
      </c>
      <c r="C22" s="203"/>
      <c r="D22" s="203"/>
      <c r="E22" s="203">
        <v>2585</v>
      </c>
      <c r="F22" s="203">
        <v>0</v>
      </c>
      <c r="G22" s="56"/>
      <c r="H22" s="203">
        <v>2225.4966887417218</v>
      </c>
      <c r="I22" s="203">
        <v>2225.4966887417218</v>
      </c>
      <c r="J22" s="56" t="s">
        <v>42</v>
      </c>
      <c r="K22" s="56">
        <v>3</v>
      </c>
      <c r="L22" s="56"/>
      <c r="M22" s="56"/>
      <c r="N22" s="200">
        <v>43221</v>
      </c>
      <c r="O22" s="56"/>
      <c r="P22" s="56"/>
      <c r="Q22" s="56"/>
      <c r="R22" s="56"/>
      <c r="S22" s="56"/>
      <c r="T22" s="56"/>
      <c r="U22" s="56"/>
      <c r="V22" s="56"/>
      <c r="W22" s="56"/>
      <c r="X22" s="56"/>
      <c r="Y22" s="56"/>
      <c r="Z22" s="56"/>
      <c r="AA22" s="56"/>
      <c r="AB22" s="56"/>
      <c r="AC22" s="56"/>
      <c r="AD22" s="56"/>
      <c r="AE22" s="56"/>
      <c r="AF22" s="56"/>
      <c r="AG22" s="56"/>
      <c r="AH22" s="56"/>
      <c r="AI22" s="56"/>
      <c r="AJ22" s="56"/>
      <c r="AK22" s="56"/>
      <c r="AL22" s="56"/>
      <c r="AM22" s="56"/>
      <c r="AN22" s="56"/>
      <c r="AO22" s="56"/>
      <c r="AP22" s="56"/>
      <c r="AQ22" s="56"/>
      <c r="AR22" s="56"/>
      <c r="AS22" s="56"/>
      <c r="AT22" s="56"/>
      <c r="AU22" s="56"/>
      <c r="AV22" s="56"/>
      <c r="AW22" s="56"/>
      <c r="AX22" s="56"/>
      <c r="AY22" s="56"/>
      <c r="AZ22" s="56"/>
      <c r="BA22" s="56"/>
      <c r="BB22" s="56"/>
      <c r="BC22" s="56"/>
      <c r="BD22" s="56"/>
      <c r="BE22" s="56"/>
      <c r="BF22" s="56"/>
      <c r="BG22" s="56"/>
      <c r="BH22" s="56"/>
      <c r="BI22" s="56"/>
      <c r="BJ22" s="56"/>
      <c r="BK22" s="56"/>
      <c r="BL22" s="56"/>
      <c r="BM22" s="56"/>
      <c r="BN22" s="56"/>
      <c r="BO22" s="56"/>
      <c r="BP22" s="56"/>
    </row>
    <row r="23" spans="1:70" s="58" customFormat="1" ht="13" x14ac:dyDescent="0.3">
      <c r="A23" s="58">
        <v>968900</v>
      </c>
      <c r="B23" s="56" t="s">
        <v>143</v>
      </c>
      <c r="C23" s="203"/>
      <c r="D23" s="203"/>
      <c r="E23" s="203">
        <v>2220</v>
      </c>
      <c r="F23" s="203">
        <v>0</v>
      </c>
      <c r="G23" s="56"/>
      <c r="H23" s="203">
        <v>1911.2582781456954</v>
      </c>
      <c r="I23" s="203">
        <v>1911.2582781456954</v>
      </c>
      <c r="J23" s="56" t="s">
        <v>42</v>
      </c>
      <c r="K23" s="56">
        <v>3</v>
      </c>
      <c r="L23" s="56"/>
      <c r="M23" s="56"/>
      <c r="N23" s="200">
        <v>43221</v>
      </c>
      <c r="O23" s="56"/>
      <c r="P23" s="56"/>
      <c r="Q23" s="56"/>
      <c r="R23" s="56"/>
      <c r="S23" s="56"/>
      <c r="T23" s="56"/>
      <c r="U23" s="56"/>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c r="BL23" s="56"/>
      <c r="BM23" s="56"/>
      <c r="BN23" s="56"/>
      <c r="BO23" s="56"/>
      <c r="BP23" s="56"/>
    </row>
    <row r="24" spans="1:70" s="58" customFormat="1" ht="13" x14ac:dyDescent="0.3">
      <c r="A24" s="58">
        <v>968900</v>
      </c>
      <c r="B24" s="56" t="s">
        <v>147</v>
      </c>
      <c r="C24" s="203"/>
      <c r="D24" s="203"/>
      <c r="E24" s="203">
        <v>40</v>
      </c>
      <c r="F24" s="203">
        <v>0</v>
      </c>
      <c r="G24" s="56"/>
      <c r="H24" s="203">
        <v>34.437086092715234</v>
      </c>
      <c r="I24" s="203">
        <v>34.437086092715234</v>
      </c>
      <c r="J24" s="56" t="s">
        <v>42</v>
      </c>
      <c r="K24" s="56">
        <v>3</v>
      </c>
      <c r="L24" s="56"/>
      <c r="M24" s="56"/>
      <c r="N24" s="200">
        <v>43221</v>
      </c>
      <c r="O24" s="56"/>
      <c r="P24" s="56"/>
      <c r="Q24" s="56"/>
      <c r="R24" s="56"/>
      <c r="S24" s="56"/>
      <c r="T24" s="56"/>
      <c r="U24" s="56"/>
      <c r="V24" s="56"/>
      <c r="W24" s="56"/>
      <c r="X24" s="56"/>
      <c r="Y24" s="56"/>
      <c r="Z24" s="56"/>
      <c r="AA24" s="56"/>
      <c r="AB24" s="56"/>
      <c r="AC24" s="56"/>
      <c r="AD24" s="56"/>
      <c r="AE24" s="56"/>
      <c r="AF24" s="56"/>
      <c r="AG24" s="56"/>
      <c r="AH24" s="56"/>
      <c r="AI24" s="56"/>
      <c r="AJ24" s="56"/>
      <c r="AK24" s="56"/>
      <c r="AL24" s="56"/>
      <c r="AM24" s="56"/>
      <c r="AN24" s="56"/>
      <c r="AO24" s="56"/>
      <c r="AP24" s="56"/>
      <c r="AQ24" s="56"/>
      <c r="AR24" s="56"/>
      <c r="AS24" s="56"/>
      <c r="AT24" s="56"/>
      <c r="AU24" s="56"/>
      <c r="AV24" s="56"/>
      <c r="AW24" s="56"/>
      <c r="AX24" s="56"/>
      <c r="AY24" s="56"/>
      <c r="AZ24" s="56"/>
      <c r="BA24" s="56"/>
      <c r="BB24" s="56"/>
      <c r="BC24" s="56"/>
      <c r="BD24" s="56"/>
      <c r="BE24" s="56"/>
      <c r="BF24" s="56"/>
      <c r="BG24" s="56"/>
      <c r="BH24" s="56"/>
      <c r="BI24" s="56"/>
      <c r="BJ24" s="56"/>
      <c r="BK24" s="56"/>
      <c r="BL24" s="56"/>
      <c r="BM24" s="56"/>
      <c r="BN24" s="56"/>
      <c r="BO24" s="56"/>
      <c r="BP24" s="56"/>
    </row>
    <row r="25" spans="1:70" s="58" customFormat="1" ht="13" x14ac:dyDescent="0.3">
      <c r="A25" s="58">
        <v>968901</v>
      </c>
      <c r="B25" s="56" t="s">
        <v>145</v>
      </c>
      <c r="C25" s="203"/>
      <c r="D25" s="203"/>
      <c r="E25" s="203">
        <v>11227</v>
      </c>
      <c r="F25" s="203">
        <v>0</v>
      </c>
      <c r="G25" s="56"/>
      <c r="H25" s="203">
        <v>9665.6291390728475</v>
      </c>
      <c r="I25" s="203">
        <v>9665.6291390728475</v>
      </c>
      <c r="J25" s="56" t="s">
        <v>42</v>
      </c>
      <c r="K25" s="56">
        <v>3</v>
      </c>
      <c r="L25" s="56"/>
      <c r="M25" s="56"/>
      <c r="N25" s="200">
        <v>43221</v>
      </c>
      <c r="O25" s="56" t="s">
        <v>505</v>
      </c>
      <c r="P25" s="56">
        <v>24</v>
      </c>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56"/>
      <c r="AX25" s="56"/>
      <c r="AY25" s="56"/>
      <c r="AZ25" s="56"/>
      <c r="BA25" s="56"/>
      <c r="BB25" s="56"/>
      <c r="BC25" s="56"/>
      <c r="BD25" s="56"/>
      <c r="BE25" s="56"/>
      <c r="BF25" s="56"/>
      <c r="BG25" s="56"/>
      <c r="BH25" s="56"/>
      <c r="BI25" s="56"/>
      <c r="BJ25" s="56"/>
      <c r="BK25" s="56"/>
      <c r="BL25" s="56"/>
      <c r="BM25" s="56"/>
      <c r="BN25" s="56"/>
      <c r="BO25" s="56"/>
      <c r="BP25" s="56"/>
    </row>
    <row r="26" spans="1:70" s="58" customFormat="1" ht="13" x14ac:dyDescent="0.3">
      <c r="A26" s="58">
        <v>968901</v>
      </c>
      <c r="B26" s="56" t="s">
        <v>144</v>
      </c>
      <c r="C26" s="203"/>
      <c r="D26" s="203"/>
      <c r="E26" s="203">
        <v>2148</v>
      </c>
      <c r="F26" s="203">
        <v>0</v>
      </c>
      <c r="G26" s="56"/>
      <c r="H26" s="203">
        <v>1849.2715231788079</v>
      </c>
      <c r="I26" s="203">
        <v>1849.2715231788079</v>
      </c>
      <c r="J26" s="56" t="s">
        <v>42</v>
      </c>
      <c r="K26" s="56">
        <v>3</v>
      </c>
      <c r="L26" s="56"/>
      <c r="M26" s="56"/>
      <c r="N26" s="200">
        <v>43221</v>
      </c>
      <c r="O26" s="56" t="s">
        <v>507</v>
      </c>
      <c r="P26" s="56">
        <v>12.7</v>
      </c>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56"/>
      <c r="AX26" s="56"/>
      <c r="AY26" s="56"/>
      <c r="AZ26" s="56"/>
      <c r="BA26" s="56"/>
      <c r="BB26" s="56"/>
      <c r="BC26" s="56"/>
      <c r="BD26" s="56"/>
      <c r="BE26" s="56"/>
      <c r="BF26" s="56"/>
      <c r="BG26" s="56"/>
      <c r="BH26" s="56"/>
      <c r="BI26" s="56"/>
      <c r="BJ26" s="56"/>
      <c r="BK26" s="56"/>
      <c r="BL26" s="56"/>
      <c r="BM26" s="56"/>
      <c r="BN26" s="56"/>
      <c r="BO26" s="56"/>
      <c r="BP26" s="56"/>
    </row>
    <row r="27" spans="1:70" s="58" customFormat="1" ht="13" x14ac:dyDescent="0.3">
      <c r="A27" s="58">
        <v>968901</v>
      </c>
      <c r="B27" s="56" t="s">
        <v>146</v>
      </c>
      <c r="C27" s="203"/>
      <c r="D27" s="203"/>
      <c r="E27" s="203">
        <v>1295</v>
      </c>
      <c r="F27" s="203">
        <v>0</v>
      </c>
      <c r="G27" s="56"/>
      <c r="H27" s="203">
        <v>1114.9006622516556</v>
      </c>
      <c r="I27" s="203">
        <v>1114.9006622516556</v>
      </c>
      <c r="J27" s="56" t="s">
        <v>42</v>
      </c>
      <c r="K27" s="56">
        <v>3</v>
      </c>
      <c r="L27" s="56"/>
      <c r="M27" s="56"/>
      <c r="N27" s="200">
        <v>43221</v>
      </c>
      <c r="O27" s="58" t="s">
        <v>506</v>
      </c>
      <c r="P27" s="56">
        <v>9.5</v>
      </c>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c r="BM27" s="56"/>
      <c r="BN27" s="56"/>
      <c r="BO27" s="56"/>
      <c r="BP27" s="56"/>
      <c r="BQ27" s="56"/>
      <c r="BR27" s="56"/>
    </row>
    <row r="28" spans="1:70" s="58" customFormat="1" ht="13" x14ac:dyDescent="0.3">
      <c r="A28" s="58">
        <v>968900</v>
      </c>
      <c r="B28" s="56"/>
      <c r="C28" s="203"/>
      <c r="D28" s="203"/>
      <c r="E28" s="203"/>
      <c r="F28" s="203">
        <v>0</v>
      </c>
      <c r="G28" s="56"/>
      <c r="H28" s="203">
        <v>0</v>
      </c>
      <c r="I28" s="203">
        <v>0</v>
      </c>
      <c r="J28" s="56"/>
      <c r="K28" s="56"/>
      <c r="L28" s="56"/>
      <c r="M28" s="56"/>
      <c r="N28" s="200">
        <v>43252</v>
      </c>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56"/>
      <c r="AX28" s="56"/>
      <c r="AY28" s="56"/>
      <c r="AZ28" s="56"/>
      <c r="BA28" s="56"/>
      <c r="BB28" s="56"/>
      <c r="BC28" s="56"/>
      <c r="BD28" s="56"/>
      <c r="BE28" s="56"/>
      <c r="BF28" s="56"/>
      <c r="BG28" s="56"/>
      <c r="BH28" s="56"/>
      <c r="BI28" s="56"/>
      <c r="BJ28" s="56"/>
      <c r="BK28" s="56"/>
      <c r="BL28" s="56"/>
      <c r="BM28" s="56"/>
      <c r="BN28" s="56"/>
      <c r="BO28" s="56"/>
      <c r="BP28" s="56"/>
      <c r="BQ28" s="56"/>
      <c r="BR28" s="56"/>
    </row>
    <row r="29" spans="1:70" s="58" customFormat="1" ht="13" x14ac:dyDescent="0.3">
      <c r="A29" s="58">
        <v>968901</v>
      </c>
      <c r="B29" s="56" t="s">
        <v>145</v>
      </c>
      <c r="C29" s="203"/>
      <c r="D29" s="203"/>
      <c r="E29" s="203">
        <v>10717</v>
      </c>
      <c r="F29" s="203">
        <v>0</v>
      </c>
      <c r="G29" s="56"/>
      <c r="H29" s="203">
        <v>9226.5562913907288</v>
      </c>
      <c r="I29" s="203">
        <v>9226.5562913907288</v>
      </c>
      <c r="J29" s="56" t="s">
        <v>42</v>
      </c>
      <c r="K29" s="56">
        <v>3</v>
      </c>
      <c r="L29" s="56"/>
      <c r="M29" s="56"/>
      <c r="N29" s="200">
        <v>43252</v>
      </c>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56"/>
      <c r="AX29" s="56"/>
      <c r="AY29" s="56"/>
      <c r="AZ29" s="56"/>
      <c r="BA29" s="56"/>
      <c r="BB29" s="56"/>
      <c r="BC29" s="56"/>
      <c r="BD29" s="56"/>
      <c r="BE29" s="56"/>
      <c r="BF29" s="56"/>
      <c r="BG29" s="56"/>
      <c r="BH29" s="56"/>
      <c r="BI29" s="56"/>
      <c r="BJ29" s="56"/>
      <c r="BK29" s="56"/>
      <c r="BL29" s="56"/>
      <c r="BM29" s="56"/>
      <c r="BN29" s="56"/>
      <c r="BO29" s="56"/>
      <c r="BP29" s="56"/>
      <c r="BQ29" s="56"/>
      <c r="BR29" s="56"/>
    </row>
    <row r="30" spans="1:70" s="58" customFormat="1" ht="13" x14ac:dyDescent="0.3">
      <c r="A30" s="58">
        <v>968901</v>
      </c>
      <c r="B30" s="56" t="s">
        <v>149</v>
      </c>
      <c r="C30" s="203"/>
      <c r="D30" s="203"/>
      <c r="E30" s="203">
        <v>1590</v>
      </c>
      <c r="F30" s="203">
        <v>0</v>
      </c>
      <c r="G30" s="56"/>
      <c r="H30" s="203">
        <v>1368.8741721854306</v>
      </c>
      <c r="I30" s="203">
        <v>1368.8741721854306</v>
      </c>
      <c r="J30" s="56" t="s">
        <v>42</v>
      </c>
      <c r="K30" s="56">
        <v>3</v>
      </c>
      <c r="L30" s="56"/>
      <c r="M30" s="56"/>
      <c r="N30" s="200">
        <v>43252</v>
      </c>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W30" s="56"/>
      <c r="AX30" s="56"/>
      <c r="AY30" s="56"/>
      <c r="AZ30" s="56"/>
      <c r="BA30" s="56"/>
      <c r="BB30" s="56"/>
      <c r="BC30" s="56"/>
      <c r="BD30" s="56"/>
      <c r="BE30" s="56"/>
      <c r="BF30" s="56"/>
      <c r="BG30" s="56"/>
      <c r="BH30" s="56"/>
      <c r="BI30" s="56"/>
      <c r="BJ30" s="56"/>
      <c r="BK30" s="56"/>
      <c r="BL30" s="56"/>
      <c r="BM30" s="56"/>
      <c r="BN30" s="56"/>
      <c r="BO30" s="56"/>
      <c r="BP30" s="56"/>
      <c r="BQ30" s="56"/>
      <c r="BR30" s="56"/>
    </row>
    <row r="31" spans="1:70" s="58" customFormat="1" ht="13" x14ac:dyDescent="0.3">
      <c r="A31" s="58">
        <v>968901</v>
      </c>
      <c r="B31" s="56" t="s">
        <v>150</v>
      </c>
      <c r="C31" s="203"/>
      <c r="D31" s="203"/>
      <c r="E31" s="203">
        <v>237</v>
      </c>
      <c r="F31" s="203">
        <v>0</v>
      </c>
      <c r="G31" s="56"/>
      <c r="H31" s="203">
        <v>204.03973509933775</v>
      </c>
      <c r="I31" s="203">
        <v>204.03973509933775</v>
      </c>
      <c r="J31" s="56" t="s">
        <v>42</v>
      </c>
      <c r="K31" s="56">
        <v>3</v>
      </c>
      <c r="L31" s="56"/>
      <c r="M31" s="56"/>
      <c r="N31" s="200">
        <v>43252</v>
      </c>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56"/>
      <c r="AX31" s="56"/>
      <c r="AY31" s="56"/>
      <c r="AZ31" s="56"/>
      <c r="BA31" s="56"/>
      <c r="BB31" s="56"/>
      <c r="BC31" s="56"/>
      <c r="BD31" s="56"/>
      <c r="BE31" s="56"/>
      <c r="BF31" s="56"/>
      <c r="BG31" s="56"/>
      <c r="BH31" s="56"/>
      <c r="BI31" s="56"/>
      <c r="BJ31" s="56"/>
      <c r="BK31" s="56"/>
      <c r="BL31" s="56"/>
      <c r="BM31" s="56"/>
      <c r="BN31" s="56"/>
      <c r="BO31" s="56"/>
      <c r="BP31" s="56"/>
      <c r="BQ31" s="56"/>
      <c r="BR31" s="56"/>
    </row>
    <row r="32" spans="1:70" s="58" customFormat="1" ht="13" x14ac:dyDescent="0.3">
      <c r="A32" s="58">
        <v>968901</v>
      </c>
      <c r="B32" s="56" t="s">
        <v>151</v>
      </c>
      <c r="C32" s="203"/>
      <c r="D32" s="203"/>
      <c r="E32" s="203">
        <v>8868</v>
      </c>
      <c r="F32" s="203">
        <v>0</v>
      </c>
      <c r="G32" s="56"/>
      <c r="H32" s="203">
        <v>7634.701986754967</v>
      </c>
      <c r="I32" s="203">
        <v>7634.701986754967</v>
      </c>
      <c r="J32" s="56" t="s">
        <v>42</v>
      </c>
      <c r="K32" s="56">
        <v>3</v>
      </c>
      <c r="L32" s="56"/>
      <c r="M32" s="56"/>
      <c r="N32" s="200">
        <v>43252</v>
      </c>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56"/>
      <c r="AX32" s="56"/>
      <c r="AY32" s="56"/>
      <c r="AZ32" s="56"/>
      <c r="BA32" s="56"/>
      <c r="BB32" s="56"/>
      <c r="BC32" s="56"/>
      <c r="BD32" s="56"/>
      <c r="BE32" s="56"/>
      <c r="BF32" s="56"/>
      <c r="BG32" s="56"/>
      <c r="BH32" s="56"/>
      <c r="BI32" s="56"/>
      <c r="BJ32" s="56"/>
      <c r="BK32" s="56"/>
      <c r="BL32" s="56"/>
      <c r="BM32" s="56"/>
      <c r="BN32" s="56"/>
      <c r="BO32" s="56"/>
      <c r="BP32" s="56"/>
      <c r="BQ32" s="56"/>
      <c r="BR32" s="56"/>
    </row>
    <row r="33" spans="1:70" s="58" customFormat="1" ht="13" x14ac:dyDescent="0.3">
      <c r="A33" s="58">
        <v>968901</v>
      </c>
      <c r="B33" s="56" t="s">
        <v>152</v>
      </c>
      <c r="C33" s="203"/>
      <c r="D33" s="203"/>
      <c r="E33" s="203">
        <v>1470</v>
      </c>
      <c r="F33" s="203">
        <v>0</v>
      </c>
      <c r="G33" s="56"/>
      <c r="H33" s="203">
        <v>1265.5629139072848</v>
      </c>
      <c r="I33" s="203">
        <v>1265.5629139072848</v>
      </c>
      <c r="J33" s="56" t="s">
        <v>42</v>
      </c>
      <c r="K33" s="56">
        <v>3</v>
      </c>
      <c r="L33" s="56"/>
      <c r="M33" s="56"/>
      <c r="N33" s="200">
        <v>43252</v>
      </c>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56"/>
      <c r="AX33" s="56"/>
      <c r="AY33" s="56"/>
      <c r="AZ33" s="56"/>
      <c r="BA33" s="56"/>
      <c r="BB33" s="56"/>
      <c r="BC33" s="56"/>
      <c r="BD33" s="56"/>
      <c r="BE33" s="56"/>
      <c r="BF33" s="56"/>
      <c r="BG33" s="56"/>
      <c r="BH33" s="56"/>
      <c r="BI33" s="56"/>
      <c r="BJ33" s="56"/>
      <c r="BK33" s="56"/>
      <c r="BL33" s="56"/>
      <c r="BM33" s="56"/>
      <c r="BN33" s="56"/>
      <c r="BO33" s="56"/>
      <c r="BP33" s="56"/>
      <c r="BQ33" s="56"/>
      <c r="BR33" s="56"/>
    </row>
    <row r="34" spans="1:70" s="58" customFormat="1" ht="13" x14ac:dyDescent="0.3">
      <c r="A34" s="58">
        <v>968901</v>
      </c>
      <c r="B34" s="56" t="s">
        <v>154</v>
      </c>
      <c r="C34" s="203"/>
      <c r="D34" s="203"/>
      <c r="E34" s="203">
        <v>163</v>
      </c>
      <c r="F34" s="203">
        <v>0</v>
      </c>
      <c r="G34" s="56"/>
      <c r="H34" s="203">
        <v>140</v>
      </c>
      <c r="I34" s="203">
        <v>140</v>
      </c>
      <c r="J34" s="56" t="s">
        <v>42</v>
      </c>
      <c r="K34" s="56">
        <v>3</v>
      </c>
      <c r="L34" s="56"/>
      <c r="M34" s="56"/>
      <c r="N34" s="200">
        <v>43252</v>
      </c>
      <c r="P34" s="56"/>
      <c r="Q34" s="56"/>
      <c r="R34" s="56"/>
      <c r="S34" s="56"/>
      <c r="T34" s="56"/>
      <c r="U34" s="56"/>
      <c r="V34" s="56"/>
      <c r="W34" s="56"/>
      <c r="X34" s="56"/>
      <c r="Y34" s="56"/>
      <c r="Z34" s="56"/>
      <c r="AA34" s="56"/>
      <c r="AB34" s="56"/>
      <c r="AC34" s="56"/>
      <c r="AD34" s="56"/>
      <c r="AE34" s="56"/>
      <c r="AF34" s="56"/>
      <c r="AG34" s="56"/>
      <c r="AH34" s="56"/>
      <c r="AI34" s="56"/>
      <c r="AJ34" s="56"/>
      <c r="AK34" s="56"/>
      <c r="AL34" s="56"/>
      <c r="AM34" s="56"/>
      <c r="AN34" s="56"/>
      <c r="AO34" s="56"/>
      <c r="AP34" s="56"/>
      <c r="AQ34" s="56"/>
      <c r="AR34" s="56"/>
      <c r="AS34" s="56"/>
      <c r="AT34" s="56"/>
      <c r="AU34" s="56"/>
      <c r="AV34" s="56"/>
      <c r="AW34" s="56"/>
      <c r="AX34" s="56"/>
      <c r="AY34" s="56"/>
      <c r="AZ34" s="56"/>
      <c r="BA34" s="56"/>
      <c r="BB34" s="56"/>
      <c r="BC34" s="56"/>
      <c r="BD34" s="56"/>
      <c r="BE34" s="56"/>
      <c r="BF34" s="56"/>
      <c r="BG34" s="56"/>
      <c r="BH34" s="56"/>
      <c r="BI34" s="56"/>
      <c r="BJ34" s="56"/>
      <c r="BK34" s="56"/>
      <c r="BL34" s="56"/>
      <c r="BM34" s="56"/>
      <c r="BN34" s="56"/>
      <c r="BO34" s="56"/>
      <c r="BP34" s="56"/>
      <c r="BQ34" s="56"/>
      <c r="BR34" s="56"/>
    </row>
    <row r="35" spans="1:70" s="58" customFormat="1" ht="13" x14ac:dyDescent="0.3">
      <c r="A35" s="58">
        <v>968900</v>
      </c>
      <c r="B35" s="56" t="s">
        <v>155</v>
      </c>
      <c r="C35" s="203"/>
      <c r="D35" s="203"/>
      <c r="E35" s="203"/>
      <c r="F35" s="203">
        <v>0</v>
      </c>
      <c r="G35" s="56"/>
      <c r="H35" s="203">
        <v>0</v>
      </c>
      <c r="I35" s="203"/>
      <c r="J35" s="56"/>
      <c r="K35" s="56"/>
      <c r="L35" s="56"/>
      <c r="M35" s="56"/>
      <c r="N35" s="200">
        <v>43282</v>
      </c>
      <c r="O35" s="58" t="s">
        <v>528</v>
      </c>
      <c r="P35" s="56">
        <v>7.6</v>
      </c>
      <c r="Q35" s="56"/>
      <c r="R35" s="56"/>
      <c r="S35" s="56"/>
      <c r="T35" s="56"/>
      <c r="U35" s="56"/>
      <c r="V35" s="56"/>
      <c r="W35" s="56"/>
      <c r="X35" s="56"/>
      <c r="Y35" s="56"/>
      <c r="Z35" s="56"/>
      <c r="AA35" s="56"/>
      <c r="AB35" s="56"/>
      <c r="AC35" s="56"/>
      <c r="AD35" s="56"/>
      <c r="AE35" s="56"/>
      <c r="AF35" s="56"/>
      <c r="AG35" s="56"/>
      <c r="AH35" s="56"/>
      <c r="AI35" s="56"/>
      <c r="AJ35" s="56"/>
      <c r="AK35" s="56"/>
      <c r="AL35" s="56"/>
      <c r="AM35" s="56"/>
      <c r="AN35" s="56"/>
      <c r="AO35" s="56"/>
      <c r="AP35" s="56"/>
      <c r="AQ35" s="56"/>
      <c r="AR35" s="56"/>
      <c r="AS35" s="56"/>
      <c r="AT35" s="56"/>
      <c r="AU35" s="56"/>
      <c r="AV35" s="56"/>
      <c r="AW35" s="56"/>
      <c r="AX35" s="56"/>
      <c r="AY35" s="56"/>
      <c r="AZ35" s="56"/>
      <c r="BA35" s="56"/>
      <c r="BB35" s="56"/>
      <c r="BC35" s="56"/>
      <c r="BD35" s="56"/>
      <c r="BE35" s="56"/>
      <c r="BF35" s="56"/>
      <c r="BG35" s="56"/>
      <c r="BH35" s="56"/>
      <c r="BI35" s="56"/>
      <c r="BJ35" s="56"/>
      <c r="BK35" s="56"/>
      <c r="BL35" s="56"/>
      <c r="BM35" s="56"/>
      <c r="BN35" s="56"/>
      <c r="BO35" s="56"/>
      <c r="BP35" s="56"/>
      <c r="BQ35" s="56"/>
      <c r="BR35" s="56"/>
    </row>
    <row r="36" spans="1:70" s="58" customFormat="1" ht="13" x14ac:dyDescent="0.3">
      <c r="A36" s="58">
        <v>968901</v>
      </c>
      <c r="B36" s="56" t="s">
        <v>156</v>
      </c>
      <c r="C36" s="203"/>
      <c r="D36" s="203"/>
      <c r="E36" s="203">
        <v>1592.325</v>
      </c>
      <c r="F36" s="203">
        <v>0</v>
      </c>
      <c r="G36" s="56"/>
      <c r="H36" s="203">
        <v>1370.8758278145697</v>
      </c>
      <c r="I36" s="203">
        <v>1370.8758278145697</v>
      </c>
      <c r="J36" s="56" t="s">
        <v>42</v>
      </c>
      <c r="K36" s="56">
        <v>3</v>
      </c>
      <c r="L36" s="56"/>
      <c r="M36" s="56"/>
      <c r="N36" s="200">
        <v>43282</v>
      </c>
      <c r="O36" s="58" t="s">
        <v>531</v>
      </c>
      <c r="P36" s="56">
        <v>1.6</v>
      </c>
      <c r="Q36" s="56"/>
      <c r="R36" s="56"/>
      <c r="S36" s="56"/>
      <c r="T36" s="56"/>
      <c r="U36" s="56"/>
      <c r="V36" s="56"/>
      <c r="W36" s="56"/>
      <c r="X36" s="56"/>
      <c r="Y36" s="56"/>
      <c r="Z36" s="56"/>
      <c r="AA36" s="56"/>
      <c r="AB36" s="56"/>
      <c r="AC36" s="56"/>
      <c r="AD36" s="56"/>
      <c r="AE36" s="56"/>
      <c r="AF36" s="56"/>
      <c r="AG36" s="56"/>
      <c r="AH36" s="56"/>
      <c r="AI36" s="56"/>
      <c r="AJ36" s="56"/>
      <c r="AK36" s="56"/>
      <c r="AL36" s="56"/>
      <c r="AM36" s="56"/>
      <c r="AN36" s="56"/>
      <c r="AO36" s="56"/>
      <c r="AP36" s="56"/>
      <c r="AQ36" s="56"/>
      <c r="AR36" s="56"/>
      <c r="AS36" s="56"/>
      <c r="AT36" s="56"/>
      <c r="AU36" s="56"/>
      <c r="AV36" s="56"/>
      <c r="AW36" s="56"/>
      <c r="AX36" s="56"/>
      <c r="AY36" s="56"/>
      <c r="AZ36" s="56"/>
      <c r="BA36" s="56"/>
      <c r="BB36" s="56"/>
      <c r="BC36" s="56"/>
      <c r="BD36" s="56"/>
      <c r="BE36" s="56"/>
      <c r="BF36" s="56"/>
      <c r="BG36" s="56"/>
      <c r="BH36" s="56"/>
      <c r="BI36" s="56"/>
      <c r="BJ36" s="56"/>
      <c r="BK36" s="56"/>
      <c r="BL36" s="56"/>
      <c r="BM36" s="56"/>
      <c r="BN36" s="56"/>
      <c r="BO36" s="56"/>
      <c r="BP36" s="56"/>
      <c r="BQ36" s="56"/>
      <c r="BR36" s="56"/>
    </row>
    <row r="37" spans="1:70" s="58" customFormat="1" ht="13" x14ac:dyDescent="0.3">
      <c r="A37" s="58">
        <v>968901</v>
      </c>
      <c r="B37" s="56" t="s">
        <v>157</v>
      </c>
      <c r="C37" s="203"/>
      <c r="D37" s="203"/>
      <c r="E37" s="203">
        <v>1457.8</v>
      </c>
      <c r="F37" s="203">
        <v>0</v>
      </c>
      <c r="G37" s="56"/>
      <c r="H37" s="203">
        <v>1255.0596026490066</v>
      </c>
      <c r="I37" s="203">
        <v>1255.0596026490066</v>
      </c>
      <c r="J37" s="56" t="s">
        <v>42</v>
      </c>
      <c r="K37" s="56">
        <v>3</v>
      </c>
      <c r="L37" s="56"/>
      <c r="M37" s="56"/>
      <c r="N37" s="200">
        <v>43282</v>
      </c>
      <c r="O37" s="58" t="s">
        <v>529</v>
      </c>
      <c r="P37" s="56">
        <v>7.6</v>
      </c>
      <c r="Q37" s="56"/>
      <c r="R37" s="56"/>
      <c r="S37" s="56"/>
      <c r="T37" s="56"/>
      <c r="U37" s="56"/>
      <c r="V37" s="56"/>
      <c r="W37" s="56"/>
      <c r="X37" s="56"/>
      <c r="Y37" s="56"/>
      <c r="Z37" s="56"/>
      <c r="AA37" s="56"/>
      <c r="AB37" s="56"/>
      <c r="AC37" s="56"/>
      <c r="AD37" s="56"/>
      <c r="AE37" s="56"/>
      <c r="AF37" s="56"/>
      <c r="AG37" s="56"/>
      <c r="AH37" s="56"/>
      <c r="AI37" s="56"/>
      <c r="AJ37" s="56"/>
      <c r="AK37" s="56"/>
      <c r="AL37" s="56"/>
      <c r="AM37" s="56"/>
      <c r="AN37" s="56"/>
      <c r="AO37" s="56"/>
      <c r="AP37" s="56"/>
      <c r="AQ37" s="56"/>
      <c r="AR37" s="56"/>
      <c r="AS37" s="56"/>
      <c r="AT37" s="56"/>
      <c r="AU37" s="56"/>
      <c r="AV37" s="56"/>
      <c r="AW37" s="56"/>
      <c r="AX37" s="56"/>
      <c r="AY37" s="56"/>
      <c r="AZ37" s="56"/>
      <c r="BA37" s="56"/>
      <c r="BB37" s="56"/>
      <c r="BC37" s="56"/>
      <c r="BD37" s="56"/>
      <c r="BE37" s="56"/>
      <c r="BF37" s="56"/>
      <c r="BG37" s="56"/>
      <c r="BH37" s="56"/>
      <c r="BI37" s="56"/>
      <c r="BJ37" s="56"/>
      <c r="BK37" s="56"/>
      <c r="BL37" s="56"/>
      <c r="BM37" s="56"/>
      <c r="BN37" s="56"/>
      <c r="BO37" s="56"/>
      <c r="BP37" s="56"/>
      <c r="BQ37" s="56"/>
      <c r="BR37" s="56"/>
    </row>
    <row r="38" spans="1:70" s="58" customFormat="1" ht="13" x14ac:dyDescent="0.3">
      <c r="A38" s="58">
        <v>968901</v>
      </c>
      <c r="B38" s="56" t="s">
        <v>158</v>
      </c>
      <c r="C38" s="203"/>
      <c r="D38" s="203"/>
      <c r="E38" s="203">
        <v>27.8</v>
      </c>
      <c r="F38" s="203">
        <v>0</v>
      </c>
      <c r="G38" s="56"/>
      <c r="H38" s="203">
        <v>23.933774834437088</v>
      </c>
      <c r="I38" s="203">
        <v>23.933774834437088</v>
      </c>
      <c r="J38" s="56" t="s">
        <v>42</v>
      </c>
      <c r="K38" s="56">
        <v>3</v>
      </c>
      <c r="L38" s="56"/>
      <c r="M38" s="56"/>
      <c r="N38" s="200">
        <v>43282</v>
      </c>
      <c r="O38" s="58" t="s">
        <v>530</v>
      </c>
      <c r="P38" s="56">
        <v>1.6</v>
      </c>
      <c r="Q38" s="56"/>
      <c r="R38" s="56"/>
      <c r="S38" s="56"/>
      <c r="T38" s="56"/>
      <c r="U38" s="56"/>
      <c r="V38" s="56"/>
      <c r="W38" s="56"/>
      <c r="X38" s="56"/>
      <c r="Y38" s="56"/>
      <c r="Z38" s="56"/>
      <c r="AA38" s="56"/>
      <c r="AB38" s="56"/>
      <c r="AC38" s="56"/>
      <c r="AD38" s="56"/>
      <c r="AE38" s="56"/>
      <c r="AF38" s="56"/>
      <c r="AG38" s="56"/>
      <c r="AH38" s="56"/>
      <c r="AI38" s="56"/>
      <c r="AJ38" s="56"/>
      <c r="AK38" s="56"/>
      <c r="AL38" s="56"/>
      <c r="AM38" s="56"/>
      <c r="AN38" s="56"/>
      <c r="AO38" s="56"/>
      <c r="AP38" s="56"/>
      <c r="AQ38" s="56"/>
      <c r="AR38" s="56"/>
      <c r="AS38" s="56"/>
      <c r="AT38" s="56"/>
      <c r="AU38" s="56"/>
      <c r="AV38" s="56"/>
      <c r="AW38" s="56"/>
      <c r="AX38" s="56"/>
      <c r="AY38" s="56"/>
      <c r="AZ38" s="56"/>
      <c r="BA38" s="56"/>
      <c r="BB38" s="56"/>
      <c r="BC38" s="56"/>
      <c r="BD38" s="56"/>
      <c r="BE38" s="56"/>
      <c r="BF38" s="56"/>
      <c r="BG38" s="56"/>
      <c r="BH38" s="56"/>
      <c r="BI38" s="56"/>
      <c r="BJ38" s="56"/>
      <c r="BK38" s="56"/>
      <c r="BL38" s="56"/>
      <c r="BM38" s="56"/>
      <c r="BN38" s="56"/>
      <c r="BO38" s="56"/>
      <c r="BP38" s="56"/>
      <c r="BQ38" s="56"/>
      <c r="BR38" s="56"/>
    </row>
    <row r="39" spans="1:70" s="58" customFormat="1" ht="13" x14ac:dyDescent="0.3">
      <c r="A39" s="58">
        <v>968901</v>
      </c>
      <c r="B39" s="56" t="s">
        <v>159</v>
      </c>
      <c r="C39" s="203"/>
      <c r="D39" s="203"/>
      <c r="E39" s="203">
        <v>8243</v>
      </c>
      <c r="F39" s="203">
        <v>0</v>
      </c>
      <c r="G39" s="56"/>
      <c r="H39" s="203">
        <v>2729.4701986754967</v>
      </c>
      <c r="I39" s="203">
        <v>2729.4701986754967</v>
      </c>
      <c r="J39" s="56" t="s">
        <v>42</v>
      </c>
      <c r="K39" s="56">
        <v>3</v>
      </c>
      <c r="L39" s="56"/>
      <c r="M39" s="56"/>
      <c r="N39" s="200">
        <v>43282</v>
      </c>
      <c r="P39" s="56"/>
      <c r="Q39" s="56"/>
      <c r="R39" s="56"/>
      <c r="S39" s="56"/>
      <c r="T39" s="56"/>
      <c r="U39" s="56"/>
      <c r="V39" s="56"/>
      <c r="W39" s="56"/>
      <c r="X39" s="56"/>
      <c r="Y39" s="56"/>
      <c r="Z39" s="56"/>
      <c r="AA39" s="56"/>
      <c r="AB39" s="56"/>
      <c r="AC39" s="56"/>
      <c r="AD39" s="56"/>
      <c r="AE39" s="56"/>
      <c r="AF39" s="56"/>
      <c r="AG39" s="56"/>
      <c r="AH39" s="56"/>
      <c r="AI39" s="56"/>
      <c r="AJ39" s="56"/>
      <c r="AK39" s="56"/>
      <c r="AL39" s="56"/>
      <c r="AM39" s="56"/>
      <c r="AN39" s="56"/>
      <c r="AO39" s="56"/>
      <c r="AP39" s="56"/>
      <c r="AQ39" s="56"/>
      <c r="AR39" s="56"/>
      <c r="AS39" s="56"/>
      <c r="AT39" s="56"/>
      <c r="AU39" s="56"/>
      <c r="AV39" s="56"/>
      <c r="AW39" s="56"/>
      <c r="AX39" s="56"/>
      <c r="AY39" s="56"/>
      <c r="AZ39" s="56"/>
      <c r="BA39" s="56"/>
      <c r="BB39" s="56"/>
      <c r="BC39" s="56"/>
      <c r="BD39" s="56"/>
      <c r="BE39" s="56"/>
      <c r="BF39" s="56"/>
      <c r="BG39" s="56"/>
      <c r="BH39" s="56"/>
      <c r="BI39" s="56"/>
      <c r="BJ39" s="56"/>
      <c r="BK39" s="56"/>
      <c r="BL39" s="56"/>
      <c r="BM39" s="56"/>
      <c r="BN39" s="56"/>
      <c r="BO39" s="56"/>
      <c r="BP39" s="56"/>
      <c r="BQ39" s="56"/>
      <c r="BR39" s="56"/>
    </row>
    <row r="40" spans="1:70" s="58" customFormat="1" ht="13" x14ac:dyDescent="0.3">
      <c r="A40" s="58">
        <v>968901</v>
      </c>
      <c r="B40" s="56" t="s">
        <v>161</v>
      </c>
      <c r="C40" s="203"/>
      <c r="D40" s="203"/>
      <c r="E40" s="203">
        <v>1500</v>
      </c>
      <c r="F40" s="203">
        <v>0</v>
      </c>
      <c r="G40" s="56"/>
      <c r="H40" s="203">
        <v>99.337748344370866</v>
      </c>
      <c r="I40" s="203">
        <v>99.337748344370866</v>
      </c>
      <c r="J40" s="56" t="s">
        <v>42</v>
      </c>
      <c r="K40" s="56">
        <v>3</v>
      </c>
      <c r="L40" s="56"/>
      <c r="M40" s="56"/>
      <c r="N40" s="200">
        <v>43282</v>
      </c>
      <c r="P40" s="56"/>
      <c r="Q40" s="56"/>
      <c r="R40" s="56"/>
      <c r="S40" s="56"/>
      <c r="T40" s="56"/>
      <c r="U40" s="56"/>
      <c r="V40" s="56"/>
      <c r="W40" s="56"/>
      <c r="X40" s="56"/>
      <c r="Y40" s="56"/>
      <c r="Z40" s="56"/>
      <c r="AA40" s="56"/>
      <c r="AB40" s="56"/>
      <c r="AC40" s="56"/>
      <c r="AD40" s="56"/>
      <c r="AE40" s="56"/>
      <c r="AF40" s="56"/>
      <c r="AG40" s="56"/>
      <c r="AH40" s="56"/>
      <c r="AI40" s="56"/>
      <c r="AJ40" s="56"/>
      <c r="AK40" s="56"/>
      <c r="AL40" s="56"/>
      <c r="AM40" s="56"/>
      <c r="AN40" s="56"/>
      <c r="AO40" s="56"/>
      <c r="AP40" s="56"/>
      <c r="AQ40" s="56"/>
      <c r="AR40" s="56"/>
      <c r="AS40" s="56"/>
      <c r="AT40" s="56"/>
      <c r="AU40" s="56"/>
      <c r="AV40" s="56"/>
      <c r="AW40" s="56"/>
      <c r="AX40" s="56"/>
      <c r="AY40" s="56"/>
      <c r="AZ40" s="56"/>
      <c r="BA40" s="56"/>
      <c r="BB40" s="56"/>
      <c r="BC40" s="56"/>
      <c r="BD40" s="56"/>
      <c r="BE40" s="56"/>
      <c r="BF40" s="56"/>
      <c r="BG40" s="56"/>
      <c r="BH40" s="56"/>
      <c r="BI40" s="56"/>
      <c r="BJ40" s="56"/>
      <c r="BK40" s="56"/>
      <c r="BL40" s="56"/>
      <c r="BM40" s="56"/>
      <c r="BN40" s="56"/>
      <c r="BO40" s="56"/>
      <c r="BP40" s="56"/>
      <c r="BQ40" s="56"/>
      <c r="BR40" s="56"/>
    </row>
    <row r="41" spans="1:70" s="58" customFormat="1" ht="13" x14ac:dyDescent="0.3">
      <c r="A41" s="58">
        <v>968901</v>
      </c>
      <c r="B41" s="56" t="s">
        <v>160</v>
      </c>
      <c r="C41" s="203"/>
      <c r="D41" s="203"/>
      <c r="E41" s="203">
        <v>3500</v>
      </c>
      <c r="F41" s="203">
        <v>0</v>
      </c>
      <c r="G41" s="56"/>
      <c r="H41" s="203">
        <v>231.78807947019868</v>
      </c>
      <c r="I41" s="203">
        <v>231.78807947019868</v>
      </c>
      <c r="J41" s="56" t="s">
        <v>42</v>
      </c>
      <c r="K41" s="56">
        <v>3</v>
      </c>
      <c r="L41" s="56"/>
      <c r="M41" s="56"/>
      <c r="N41" s="200">
        <v>43282</v>
      </c>
      <c r="P41" s="56"/>
      <c r="Q41" s="56"/>
      <c r="R41" s="56"/>
      <c r="S41" s="56"/>
      <c r="T41" s="56"/>
      <c r="U41" s="56"/>
      <c r="V41" s="56"/>
      <c r="W41" s="56"/>
      <c r="X41" s="56"/>
      <c r="Y41" s="56"/>
      <c r="Z41" s="56"/>
      <c r="AA41" s="56"/>
      <c r="AB41" s="56"/>
      <c r="AC41" s="56"/>
      <c r="AD41" s="56"/>
      <c r="AE41" s="56"/>
      <c r="AF41" s="56"/>
      <c r="AG41" s="56"/>
      <c r="AH41" s="56"/>
      <c r="AI41" s="56"/>
      <c r="AJ41" s="56"/>
      <c r="AK41" s="56"/>
      <c r="AL41" s="56"/>
      <c r="AM41" s="56"/>
      <c r="AN41" s="56"/>
      <c r="AO41" s="56"/>
      <c r="AP41" s="56"/>
      <c r="AQ41" s="56"/>
      <c r="AR41" s="56"/>
      <c r="AS41" s="56"/>
      <c r="AT41" s="56"/>
      <c r="AU41" s="56"/>
      <c r="AV41" s="56"/>
      <c r="AW41" s="56"/>
      <c r="AX41" s="56"/>
      <c r="AY41" s="56"/>
      <c r="AZ41" s="56"/>
      <c r="BA41" s="56"/>
      <c r="BB41" s="56"/>
      <c r="BC41" s="56"/>
      <c r="BD41" s="56"/>
      <c r="BE41" s="56"/>
      <c r="BF41" s="56"/>
      <c r="BG41" s="56"/>
      <c r="BH41" s="56"/>
      <c r="BI41" s="56"/>
      <c r="BJ41" s="56"/>
      <c r="BK41" s="56"/>
      <c r="BL41" s="56"/>
      <c r="BM41" s="56"/>
      <c r="BN41" s="56"/>
      <c r="BO41" s="56"/>
      <c r="BP41" s="56"/>
      <c r="BQ41" s="56"/>
      <c r="BR41" s="56"/>
    </row>
    <row r="42" spans="1:70" s="58" customFormat="1" ht="13" x14ac:dyDescent="0.3">
      <c r="A42" s="58">
        <v>968901</v>
      </c>
      <c r="B42" s="56" t="s">
        <v>162</v>
      </c>
      <c r="C42" s="203"/>
      <c r="D42" s="203"/>
      <c r="E42" s="203">
        <v>593</v>
      </c>
      <c r="F42" s="203">
        <v>0</v>
      </c>
      <c r="G42" s="56"/>
      <c r="H42" s="203">
        <v>510.5298013245033</v>
      </c>
      <c r="I42" s="203">
        <v>510.5298013245033</v>
      </c>
      <c r="J42" s="56" t="s">
        <v>42</v>
      </c>
      <c r="K42" s="56">
        <v>3</v>
      </c>
      <c r="L42" s="56"/>
      <c r="M42" s="56"/>
      <c r="N42" s="200">
        <v>43282</v>
      </c>
      <c r="P42" s="56"/>
      <c r="Q42" s="56"/>
      <c r="R42" s="56"/>
      <c r="S42" s="56"/>
      <c r="T42" s="56"/>
      <c r="U42" s="56"/>
      <c r="V42" s="56"/>
      <c r="W42" s="56"/>
      <c r="X42" s="56"/>
      <c r="Y42" s="56"/>
      <c r="Z42" s="56"/>
      <c r="AA42" s="56"/>
      <c r="AB42" s="56"/>
      <c r="AC42" s="56"/>
      <c r="AD42" s="56"/>
      <c r="AE42" s="56"/>
      <c r="AF42" s="56"/>
      <c r="AG42" s="56"/>
      <c r="AH42" s="56"/>
      <c r="AI42" s="56"/>
      <c r="AJ42" s="56"/>
      <c r="AK42" s="56"/>
      <c r="AL42" s="56"/>
      <c r="AM42" s="56"/>
      <c r="AN42" s="56"/>
      <c r="AO42" s="56"/>
      <c r="AP42" s="56"/>
      <c r="AQ42" s="56"/>
      <c r="AR42" s="56"/>
      <c r="AS42" s="56"/>
      <c r="AT42" s="56"/>
      <c r="AU42" s="56"/>
      <c r="AV42" s="56"/>
      <c r="AW42" s="56"/>
      <c r="AX42" s="56"/>
      <c r="AY42" s="56"/>
      <c r="AZ42" s="56"/>
      <c r="BA42" s="56"/>
      <c r="BB42" s="56"/>
      <c r="BC42" s="56"/>
      <c r="BD42" s="56"/>
      <c r="BE42" s="56"/>
      <c r="BF42" s="56"/>
      <c r="BG42" s="56"/>
      <c r="BH42" s="56"/>
      <c r="BI42" s="56"/>
      <c r="BJ42" s="56"/>
      <c r="BK42" s="56"/>
      <c r="BL42" s="56"/>
      <c r="BM42" s="56"/>
      <c r="BN42" s="56"/>
      <c r="BO42" s="56"/>
      <c r="BP42" s="56"/>
      <c r="BQ42" s="56"/>
      <c r="BR42" s="56"/>
    </row>
    <row r="43" spans="1:70" s="58" customFormat="1" ht="13" x14ac:dyDescent="0.3">
      <c r="A43" s="58">
        <v>968900</v>
      </c>
      <c r="B43" s="56" t="s">
        <v>155</v>
      </c>
      <c r="C43" s="203"/>
      <c r="D43" s="203"/>
      <c r="E43" s="203"/>
      <c r="F43" s="203">
        <v>0</v>
      </c>
      <c r="G43" s="56"/>
      <c r="H43" s="203">
        <v>0</v>
      </c>
      <c r="I43" s="203"/>
      <c r="J43" s="56"/>
      <c r="K43" s="56"/>
      <c r="L43" s="56"/>
      <c r="M43" s="56"/>
      <c r="N43" s="200">
        <v>43313</v>
      </c>
      <c r="P43" s="56"/>
      <c r="Q43" s="56"/>
      <c r="R43" s="56"/>
      <c r="S43" s="56"/>
      <c r="T43" s="56"/>
      <c r="U43" s="56"/>
      <c r="V43" s="56"/>
      <c r="W43" s="56"/>
      <c r="X43" s="56"/>
      <c r="Y43" s="56"/>
      <c r="Z43" s="56"/>
      <c r="AA43" s="56"/>
      <c r="AB43" s="56"/>
      <c r="AC43" s="56"/>
      <c r="AD43" s="56"/>
      <c r="AE43" s="56"/>
      <c r="AF43" s="56"/>
      <c r="AG43" s="56"/>
      <c r="AH43" s="56"/>
      <c r="AI43" s="56"/>
      <c r="AJ43" s="56"/>
      <c r="AK43" s="56"/>
      <c r="AL43" s="56"/>
      <c r="AM43" s="56"/>
      <c r="AN43" s="56"/>
      <c r="AO43" s="56"/>
      <c r="AP43" s="56"/>
      <c r="AQ43" s="56"/>
      <c r="AR43" s="56"/>
      <c r="AS43" s="56"/>
      <c r="AT43" s="56"/>
      <c r="AU43" s="56"/>
      <c r="AV43" s="56"/>
      <c r="AW43" s="56"/>
      <c r="AX43" s="56"/>
      <c r="AY43" s="56"/>
      <c r="AZ43" s="56"/>
      <c r="BA43" s="56"/>
      <c r="BB43" s="56"/>
      <c r="BC43" s="56"/>
      <c r="BD43" s="56"/>
      <c r="BE43" s="56"/>
      <c r="BF43" s="56"/>
      <c r="BG43" s="56"/>
      <c r="BH43" s="56"/>
      <c r="BI43" s="56"/>
      <c r="BJ43" s="56"/>
      <c r="BK43" s="56"/>
      <c r="BL43" s="56"/>
      <c r="BM43" s="56"/>
      <c r="BN43" s="56"/>
      <c r="BO43" s="56"/>
      <c r="BP43" s="56"/>
      <c r="BQ43" s="56"/>
      <c r="BR43" s="56"/>
    </row>
    <row r="44" spans="1:70" s="58" customFormat="1" ht="13" x14ac:dyDescent="0.3">
      <c r="A44" s="58">
        <v>968901</v>
      </c>
      <c r="B44" s="56" t="s">
        <v>163</v>
      </c>
      <c r="C44" s="203"/>
      <c r="D44" s="203"/>
      <c r="E44" s="203">
        <v>1401</v>
      </c>
      <c r="F44" s="203">
        <v>0</v>
      </c>
      <c r="G44" s="56"/>
      <c r="H44" s="203">
        <v>46.390728476821195</v>
      </c>
      <c r="I44" s="203">
        <v>46.390728476821195</v>
      </c>
      <c r="J44" s="56" t="s">
        <v>42</v>
      </c>
      <c r="K44" s="56">
        <v>3</v>
      </c>
      <c r="L44" s="56"/>
      <c r="M44" s="56"/>
      <c r="N44" s="200">
        <v>43313</v>
      </c>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c r="AX44" s="56"/>
      <c r="AY44" s="56"/>
      <c r="AZ44" s="56"/>
      <c r="BA44" s="56"/>
      <c r="BB44" s="56"/>
      <c r="BC44" s="56"/>
      <c r="BD44" s="56"/>
      <c r="BE44" s="56"/>
      <c r="BF44" s="56"/>
      <c r="BG44" s="56"/>
      <c r="BH44" s="56"/>
      <c r="BI44" s="56"/>
      <c r="BJ44" s="56"/>
      <c r="BK44" s="56"/>
      <c r="BL44" s="56"/>
      <c r="BM44" s="56"/>
      <c r="BN44" s="56"/>
      <c r="BO44" s="56"/>
      <c r="BP44" s="56"/>
      <c r="BQ44" s="56"/>
      <c r="BR44" s="56"/>
    </row>
    <row r="45" spans="1:70" s="58" customFormat="1" ht="13" x14ac:dyDescent="0.3">
      <c r="A45" s="58">
        <v>968901</v>
      </c>
      <c r="B45" s="56" t="s">
        <v>165</v>
      </c>
      <c r="C45" s="203"/>
      <c r="D45" s="203"/>
      <c r="E45" s="203">
        <v>1468</v>
      </c>
      <c r="F45" s="203">
        <v>0</v>
      </c>
      <c r="G45" s="56"/>
      <c r="H45" s="203">
        <v>243.04635761589404</v>
      </c>
      <c r="I45" s="203">
        <v>243.04635761589404</v>
      </c>
      <c r="J45" s="56" t="s">
        <v>42</v>
      </c>
      <c r="K45" s="56">
        <v>3</v>
      </c>
      <c r="L45" s="56"/>
      <c r="M45" s="56"/>
      <c r="N45" s="200">
        <v>43313</v>
      </c>
      <c r="P45" s="56"/>
      <c r="Q45" s="56"/>
      <c r="R45" s="56"/>
      <c r="S45" s="56"/>
      <c r="T45" s="56"/>
      <c r="U45" s="56"/>
      <c r="V45" s="56"/>
      <c r="W45" s="56"/>
      <c r="X45" s="56"/>
      <c r="Y45" s="56"/>
      <c r="Z45" s="56"/>
      <c r="AA45" s="56"/>
      <c r="AB45" s="56"/>
      <c r="AC45" s="56"/>
      <c r="AD45" s="56"/>
      <c r="AE45" s="56"/>
      <c r="AF45" s="56"/>
      <c r="AG45" s="56"/>
      <c r="AH45" s="56"/>
      <c r="AI45" s="56"/>
      <c r="AJ45" s="56"/>
      <c r="AK45" s="56"/>
      <c r="AL45" s="56"/>
      <c r="AM45" s="56"/>
      <c r="AN45" s="56"/>
      <c r="AO45" s="56"/>
      <c r="AP45" s="56"/>
      <c r="AQ45" s="56"/>
      <c r="AR45" s="56"/>
      <c r="AS45" s="56"/>
      <c r="AT45" s="56"/>
      <c r="AU45" s="56"/>
      <c r="AV45" s="56"/>
      <c r="AW45" s="56"/>
      <c r="AX45" s="56"/>
      <c r="AY45" s="56"/>
      <c r="AZ45" s="56"/>
      <c r="BA45" s="56"/>
      <c r="BB45" s="56"/>
      <c r="BC45" s="56"/>
      <c r="BD45" s="56"/>
      <c r="BE45" s="56"/>
      <c r="BF45" s="56"/>
      <c r="BG45" s="56"/>
      <c r="BH45" s="56"/>
      <c r="BI45" s="56"/>
      <c r="BJ45" s="56"/>
      <c r="BK45" s="56"/>
      <c r="BL45" s="56"/>
      <c r="BM45" s="56"/>
      <c r="BN45" s="56"/>
      <c r="BO45" s="56"/>
      <c r="BP45" s="56"/>
      <c r="BQ45" s="56"/>
      <c r="BR45" s="56"/>
    </row>
    <row r="46" spans="1:70" s="58" customFormat="1" ht="13" x14ac:dyDescent="0.3">
      <c r="A46" s="58">
        <v>968901</v>
      </c>
      <c r="B46" s="56" t="s">
        <v>164</v>
      </c>
      <c r="C46" s="203"/>
      <c r="D46" s="203"/>
      <c r="E46" s="203">
        <v>372</v>
      </c>
      <c r="F46" s="203">
        <v>0</v>
      </c>
      <c r="G46" s="56"/>
      <c r="H46" s="203">
        <v>44.344370860927157</v>
      </c>
      <c r="I46" s="203">
        <v>44.344370860927157</v>
      </c>
      <c r="J46" s="56" t="s">
        <v>42</v>
      </c>
      <c r="K46" s="56">
        <v>3</v>
      </c>
      <c r="L46" s="56"/>
      <c r="M46" s="56"/>
      <c r="N46" s="200">
        <v>43313</v>
      </c>
      <c r="P46" s="56"/>
      <c r="Q46" s="56"/>
      <c r="R46" s="56"/>
      <c r="S46" s="56"/>
      <c r="T46" s="56"/>
      <c r="U46" s="56"/>
      <c r="V46" s="56"/>
      <c r="W46" s="56"/>
      <c r="X46" s="56"/>
      <c r="Y46" s="56"/>
      <c r="Z46" s="56"/>
      <c r="AA46" s="56"/>
      <c r="AB46" s="56"/>
      <c r="AC46" s="56"/>
      <c r="AD46" s="56"/>
      <c r="AE46" s="56"/>
      <c r="AF46" s="56"/>
      <c r="AG46" s="56"/>
      <c r="AH46" s="56"/>
      <c r="AI46" s="56"/>
      <c r="AJ46" s="56"/>
      <c r="AK46" s="56"/>
      <c r="AL46" s="56"/>
      <c r="AM46" s="56"/>
      <c r="AN46" s="56"/>
      <c r="AO46" s="56"/>
      <c r="AP46" s="56"/>
      <c r="AQ46" s="56"/>
      <c r="AR46" s="56"/>
      <c r="AS46" s="56"/>
      <c r="AT46" s="56"/>
      <c r="AU46" s="56"/>
      <c r="AV46" s="56"/>
      <c r="AW46" s="56"/>
      <c r="AX46" s="56"/>
      <c r="AY46" s="56"/>
      <c r="AZ46" s="56"/>
      <c r="BA46" s="56"/>
      <c r="BB46" s="56"/>
      <c r="BC46" s="56"/>
      <c r="BD46" s="56"/>
      <c r="BE46" s="56"/>
      <c r="BF46" s="56"/>
      <c r="BG46" s="56"/>
      <c r="BH46" s="56"/>
      <c r="BI46" s="56"/>
      <c r="BJ46" s="56"/>
      <c r="BK46" s="56"/>
      <c r="BL46" s="56"/>
      <c r="BM46" s="56"/>
      <c r="BN46" s="56"/>
      <c r="BO46" s="56"/>
      <c r="BP46" s="56"/>
      <c r="BQ46" s="56"/>
      <c r="BR46" s="56"/>
    </row>
    <row r="47" spans="1:70" s="58" customFormat="1" ht="13" x14ac:dyDescent="0.3">
      <c r="A47" s="58">
        <v>968900</v>
      </c>
      <c r="B47" s="56" t="s">
        <v>137</v>
      </c>
      <c r="C47" s="203"/>
      <c r="D47" s="203"/>
      <c r="E47" s="203"/>
      <c r="F47" s="203">
        <v>0</v>
      </c>
      <c r="G47" s="56"/>
      <c r="H47" s="203">
        <v>0</v>
      </c>
      <c r="I47" s="203">
        <v>0</v>
      </c>
      <c r="J47" s="56"/>
      <c r="K47" s="56"/>
      <c r="L47" s="56"/>
      <c r="M47" s="56"/>
      <c r="N47" s="200">
        <v>43344</v>
      </c>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row>
    <row r="48" spans="1:70" s="58" customFormat="1" ht="13" x14ac:dyDescent="0.3">
      <c r="A48" s="58">
        <v>968901</v>
      </c>
      <c r="B48" s="56" t="s">
        <v>166</v>
      </c>
      <c r="C48" s="203">
        <v>52</v>
      </c>
      <c r="D48" s="203">
        <v>75</v>
      </c>
      <c r="E48" s="203">
        <v>695</v>
      </c>
      <c r="F48" s="203">
        <v>23</v>
      </c>
      <c r="G48" s="56"/>
      <c r="H48" s="203">
        <v>598.34437086092714</v>
      </c>
      <c r="I48" s="203">
        <v>598.34437086092714</v>
      </c>
      <c r="J48" s="56" t="s">
        <v>42</v>
      </c>
      <c r="K48" s="56">
        <v>3</v>
      </c>
      <c r="L48" s="56"/>
      <c r="M48" s="56"/>
      <c r="N48" s="200">
        <v>43344</v>
      </c>
      <c r="P48" s="56"/>
      <c r="Q48" s="56"/>
      <c r="R48" s="56"/>
      <c r="S48" s="56"/>
      <c r="T48" s="56"/>
      <c r="U48" s="56"/>
      <c r="V48" s="56"/>
      <c r="W48" s="56"/>
      <c r="X48" s="56"/>
      <c r="Y48" s="56"/>
      <c r="Z48" s="56"/>
      <c r="AA48" s="56"/>
      <c r="AB48" s="56"/>
      <c r="AC48" s="56"/>
      <c r="AD48" s="56"/>
      <c r="AE48" s="56"/>
      <c r="AF48" s="56"/>
      <c r="AG48" s="56"/>
      <c r="AH48" s="56"/>
      <c r="AI48" s="56"/>
      <c r="AJ48" s="56"/>
      <c r="AK48" s="56"/>
      <c r="AL48" s="56"/>
      <c r="AM48" s="56"/>
      <c r="AN48" s="56"/>
      <c r="AO48" s="56"/>
      <c r="AP48" s="56"/>
      <c r="AQ48" s="56"/>
      <c r="AR48" s="56"/>
      <c r="AS48" s="56"/>
      <c r="AT48" s="56"/>
      <c r="AU48" s="56"/>
      <c r="AV48" s="56"/>
      <c r="AW48" s="56"/>
      <c r="AX48" s="56"/>
      <c r="AY48" s="56"/>
      <c r="AZ48" s="56"/>
      <c r="BA48" s="56"/>
      <c r="BB48" s="56"/>
      <c r="BC48" s="56"/>
      <c r="BD48" s="56"/>
      <c r="BE48" s="56"/>
      <c r="BF48" s="56"/>
      <c r="BG48" s="56"/>
      <c r="BH48" s="56"/>
      <c r="BI48" s="56"/>
      <c r="BJ48" s="56"/>
      <c r="BK48" s="56"/>
      <c r="BL48" s="56"/>
      <c r="BM48" s="56"/>
      <c r="BN48" s="56"/>
      <c r="BO48" s="56"/>
      <c r="BP48" s="56"/>
      <c r="BQ48" s="56"/>
      <c r="BR48" s="56"/>
    </row>
    <row r="49" spans="1:70" s="58" customFormat="1" ht="13" x14ac:dyDescent="0.3">
      <c r="A49" s="58">
        <v>968901</v>
      </c>
      <c r="B49" s="56" t="s">
        <v>166</v>
      </c>
      <c r="C49" s="203">
        <v>75</v>
      </c>
      <c r="D49" s="203">
        <v>136</v>
      </c>
      <c r="E49" s="203">
        <v>1864</v>
      </c>
      <c r="F49" s="203">
        <v>61</v>
      </c>
      <c r="G49" s="56"/>
      <c r="H49" s="203">
        <v>1604.7682119205299</v>
      </c>
      <c r="I49" s="203">
        <v>1604.7682119205299</v>
      </c>
      <c r="J49" s="56" t="s">
        <v>42</v>
      </c>
      <c r="K49" s="56">
        <v>3</v>
      </c>
      <c r="L49" s="56"/>
      <c r="M49" s="56"/>
      <c r="N49" s="200">
        <v>43344</v>
      </c>
      <c r="P49" s="56"/>
      <c r="Q49" s="56"/>
      <c r="R49" s="56"/>
      <c r="S49" s="56"/>
      <c r="T49" s="56"/>
      <c r="U49" s="56"/>
      <c r="V49" s="56"/>
      <c r="W49" s="56"/>
      <c r="X49" s="56"/>
      <c r="Y49" s="56"/>
      <c r="Z49" s="56"/>
      <c r="AA49" s="56"/>
      <c r="AB49" s="56"/>
      <c r="AC49" s="56"/>
      <c r="AD49" s="56"/>
      <c r="AE49" s="56"/>
      <c r="AF49" s="56"/>
      <c r="AG49" s="56"/>
      <c r="AH49" s="56"/>
      <c r="AI49" s="56"/>
      <c r="AJ49" s="56"/>
      <c r="AK49" s="56"/>
      <c r="AL49" s="56"/>
      <c r="AM49" s="56"/>
      <c r="AN49" s="56"/>
      <c r="AO49" s="56"/>
      <c r="AP49" s="56"/>
      <c r="AQ49" s="56"/>
      <c r="AR49" s="56"/>
      <c r="AS49" s="56"/>
      <c r="AT49" s="56"/>
      <c r="AU49" s="56"/>
      <c r="AV49" s="56"/>
      <c r="AW49" s="56"/>
      <c r="AX49" s="56"/>
      <c r="AY49" s="56"/>
      <c r="AZ49" s="56"/>
      <c r="BA49" s="56"/>
      <c r="BB49" s="56"/>
      <c r="BC49" s="56"/>
      <c r="BD49" s="56"/>
      <c r="BE49" s="56"/>
      <c r="BF49" s="56"/>
      <c r="BG49" s="56"/>
      <c r="BH49" s="56"/>
      <c r="BI49" s="56"/>
      <c r="BJ49" s="56"/>
      <c r="BK49" s="56"/>
      <c r="BL49" s="56"/>
      <c r="BM49" s="56"/>
      <c r="BN49" s="56"/>
      <c r="BO49" s="56"/>
      <c r="BP49" s="56"/>
      <c r="BQ49" s="56"/>
      <c r="BR49" s="56"/>
    </row>
    <row r="50" spans="1:70" s="58" customFormat="1" ht="13" x14ac:dyDescent="0.3">
      <c r="A50" s="58">
        <v>968901</v>
      </c>
      <c r="B50" s="56" t="s">
        <v>166</v>
      </c>
      <c r="C50" s="203">
        <v>75</v>
      </c>
      <c r="D50" s="203">
        <v>136</v>
      </c>
      <c r="E50" s="203">
        <v>803</v>
      </c>
      <c r="F50" s="203">
        <v>61</v>
      </c>
      <c r="G50" s="56"/>
      <c r="H50" s="203">
        <v>106.35761589403974</v>
      </c>
      <c r="I50" s="203">
        <v>106.35761589403974</v>
      </c>
      <c r="J50" s="56" t="s">
        <v>42</v>
      </c>
      <c r="K50" s="56">
        <v>3</v>
      </c>
      <c r="L50" s="56"/>
      <c r="M50" s="56"/>
      <c r="N50" s="200">
        <v>43344</v>
      </c>
      <c r="P50" s="56"/>
      <c r="Q50" s="56"/>
      <c r="R50" s="56"/>
      <c r="S50" s="56"/>
      <c r="T50" s="56"/>
      <c r="U50" s="56"/>
      <c r="V50" s="56"/>
      <c r="W50" s="56"/>
      <c r="X50" s="56"/>
      <c r="Y50" s="56"/>
      <c r="Z50" s="56"/>
      <c r="AA50" s="56"/>
      <c r="AB50" s="56"/>
      <c r="AC50" s="56"/>
      <c r="AD50" s="56"/>
      <c r="AE50" s="56"/>
      <c r="AF50" s="56"/>
      <c r="AG50" s="56"/>
      <c r="AH50" s="56"/>
      <c r="AI50" s="56"/>
      <c r="AJ50" s="56"/>
      <c r="AK50" s="56"/>
      <c r="AL50" s="56"/>
      <c r="AM50" s="56"/>
      <c r="AN50" s="56"/>
      <c r="AO50" s="56"/>
      <c r="AP50" s="56"/>
      <c r="AQ50" s="56"/>
      <c r="AR50" s="56"/>
      <c r="AS50" s="56"/>
      <c r="AT50" s="56"/>
      <c r="AU50" s="56"/>
      <c r="AV50" s="56"/>
      <c r="AW50" s="56"/>
      <c r="AX50" s="56"/>
      <c r="AY50" s="56"/>
      <c r="AZ50" s="56"/>
      <c r="BA50" s="56"/>
      <c r="BB50" s="56"/>
      <c r="BC50" s="56"/>
      <c r="BD50" s="56"/>
      <c r="BE50" s="56"/>
      <c r="BF50" s="56"/>
      <c r="BG50" s="56"/>
      <c r="BH50" s="56"/>
      <c r="BI50" s="56"/>
      <c r="BJ50" s="56"/>
      <c r="BK50" s="56"/>
      <c r="BL50" s="56"/>
      <c r="BM50" s="56"/>
      <c r="BN50" s="56"/>
      <c r="BO50" s="56"/>
      <c r="BP50" s="56"/>
      <c r="BQ50" s="56"/>
      <c r="BR50" s="56"/>
    </row>
    <row r="51" spans="1:70" s="58" customFormat="1" ht="13" x14ac:dyDescent="0.3">
      <c r="A51" s="58">
        <v>968901</v>
      </c>
      <c r="B51" s="56" t="s">
        <v>167</v>
      </c>
      <c r="C51" s="203">
        <v>136</v>
      </c>
      <c r="D51" s="203">
        <v>290</v>
      </c>
      <c r="E51" s="203">
        <v>5639</v>
      </c>
      <c r="F51" s="203">
        <v>154</v>
      </c>
      <c r="G51" s="56"/>
      <c r="H51" s="203">
        <v>4294.6026490066224</v>
      </c>
      <c r="I51" s="203">
        <v>4294.6026490066224</v>
      </c>
      <c r="J51" s="56" t="s">
        <v>42</v>
      </c>
      <c r="K51" s="56">
        <v>3</v>
      </c>
      <c r="L51" s="56"/>
      <c r="M51" s="56"/>
      <c r="N51" s="200">
        <v>43344</v>
      </c>
      <c r="P51" s="56"/>
      <c r="Q51" s="56"/>
      <c r="R51" s="56"/>
      <c r="S51" s="56"/>
      <c r="T51" s="56"/>
      <c r="U51" s="56"/>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c r="BL51" s="56"/>
      <c r="BM51" s="56"/>
      <c r="BN51" s="56"/>
      <c r="BO51" s="56"/>
      <c r="BP51" s="56"/>
      <c r="BQ51" s="56"/>
      <c r="BR51" s="56"/>
    </row>
    <row r="52" spans="1:70" s="58" customFormat="1" ht="13" x14ac:dyDescent="0.3">
      <c r="A52" s="58">
        <v>968901</v>
      </c>
      <c r="B52" s="56" t="s">
        <v>168</v>
      </c>
      <c r="C52" s="203">
        <v>31</v>
      </c>
      <c r="D52" s="203">
        <v>78</v>
      </c>
      <c r="E52" s="203">
        <v>1511</v>
      </c>
      <c r="F52" s="203">
        <v>47</v>
      </c>
      <c r="G52" s="56"/>
      <c r="H52" s="203">
        <v>1200.7947019867549</v>
      </c>
      <c r="I52" s="203">
        <v>1200.7947019867549</v>
      </c>
      <c r="J52" s="56" t="s">
        <v>42</v>
      </c>
      <c r="K52" s="56">
        <v>3</v>
      </c>
      <c r="L52" s="56"/>
      <c r="M52" s="56"/>
      <c r="N52" s="200">
        <v>43344</v>
      </c>
      <c r="P52" s="56"/>
      <c r="Q52" s="56"/>
      <c r="R52" s="56"/>
      <c r="S52" s="56"/>
      <c r="T52" s="56"/>
      <c r="U52" s="56"/>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c r="BL52" s="56"/>
      <c r="BM52" s="56"/>
      <c r="BN52" s="56"/>
      <c r="BO52" s="56"/>
      <c r="BP52" s="56"/>
      <c r="BQ52" s="56"/>
      <c r="BR52" s="56"/>
    </row>
    <row r="53" spans="1:70" s="58" customFormat="1" ht="13" x14ac:dyDescent="0.3">
      <c r="A53" s="58">
        <v>968901</v>
      </c>
      <c r="B53" s="56" t="s">
        <v>168</v>
      </c>
      <c r="C53" s="203">
        <v>78</v>
      </c>
      <c r="D53" s="203">
        <v>175</v>
      </c>
      <c r="E53" s="203">
        <v>3194</v>
      </c>
      <c r="F53" s="203">
        <v>97</v>
      </c>
      <c r="G53" s="56"/>
      <c r="H53" s="203">
        <v>2220.993377483444</v>
      </c>
      <c r="I53" s="203">
        <v>2220.993377483444</v>
      </c>
      <c r="J53" s="56" t="s">
        <v>42</v>
      </c>
      <c r="K53" s="56">
        <v>3</v>
      </c>
      <c r="L53" s="56"/>
      <c r="M53" s="56"/>
      <c r="N53" s="200">
        <v>43344</v>
      </c>
      <c r="P53" s="56"/>
      <c r="Q53" s="56"/>
      <c r="R53" s="56"/>
      <c r="S53" s="56"/>
      <c r="T53" s="56"/>
      <c r="U53" s="56"/>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c r="BL53" s="56"/>
      <c r="BM53" s="56"/>
      <c r="BN53" s="56"/>
      <c r="BO53" s="56"/>
      <c r="BP53" s="56"/>
      <c r="BQ53" s="56"/>
      <c r="BR53" s="56"/>
    </row>
    <row r="54" spans="1:70" s="58" customFormat="1" ht="13" x14ac:dyDescent="0.3">
      <c r="A54" s="58">
        <v>968901</v>
      </c>
      <c r="B54" s="56" t="s">
        <v>168</v>
      </c>
      <c r="C54" s="203">
        <v>175</v>
      </c>
      <c r="D54" s="203">
        <v>234</v>
      </c>
      <c r="E54" s="203">
        <v>1826</v>
      </c>
      <c r="F54" s="203">
        <v>59</v>
      </c>
      <c r="G54" s="56"/>
      <c r="H54" s="203">
        <v>1269.7350993377484</v>
      </c>
      <c r="I54" s="203">
        <v>1269.7350993377484</v>
      </c>
      <c r="J54" s="56" t="s">
        <v>42</v>
      </c>
      <c r="K54" s="56">
        <v>3</v>
      </c>
      <c r="L54" s="56"/>
      <c r="M54" s="56"/>
      <c r="N54" s="200">
        <v>43344</v>
      </c>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row>
    <row r="55" spans="1:70" s="58" customFormat="1" ht="13" x14ac:dyDescent="0.3">
      <c r="A55" s="58">
        <v>968900</v>
      </c>
      <c r="B55" s="56" t="s">
        <v>169</v>
      </c>
      <c r="C55" s="203"/>
      <c r="D55" s="203"/>
      <c r="E55" s="203">
        <v>1773</v>
      </c>
      <c r="F55" s="203">
        <v>0</v>
      </c>
      <c r="G55" s="56"/>
      <c r="H55" s="203">
        <v>1526.4238410596026</v>
      </c>
      <c r="I55" s="203">
        <v>1526.4238410596026</v>
      </c>
      <c r="J55" s="56" t="s">
        <v>42</v>
      </c>
      <c r="K55" s="56">
        <v>3</v>
      </c>
      <c r="L55" s="56"/>
      <c r="M55" s="56"/>
      <c r="N55" s="200">
        <v>43374</v>
      </c>
      <c r="P55" s="56"/>
      <c r="Q55" s="56"/>
      <c r="R55" s="56"/>
      <c r="S55" s="56"/>
      <c r="T55" s="56"/>
      <c r="U55" s="56"/>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c r="BL55" s="56"/>
      <c r="BM55" s="56"/>
      <c r="BN55" s="56"/>
      <c r="BO55" s="56"/>
      <c r="BP55" s="56"/>
      <c r="BQ55" s="56"/>
      <c r="BR55" s="56"/>
    </row>
    <row r="56" spans="1:70" s="58" customFormat="1" ht="13" x14ac:dyDescent="0.3">
      <c r="A56" s="58">
        <v>968900</v>
      </c>
      <c r="B56" s="56" t="s">
        <v>170</v>
      </c>
      <c r="C56" s="203"/>
      <c r="D56" s="203"/>
      <c r="E56" s="203">
        <v>5028</v>
      </c>
      <c r="F56" s="203">
        <v>0</v>
      </c>
      <c r="G56" s="56"/>
      <c r="H56" s="203">
        <v>4328.7417218543051</v>
      </c>
      <c r="I56" s="203">
        <v>4328.7417218543051</v>
      </c>
      <c r="J56" s="56" t="s">
        <v>42</v>
      </c>
      <c r="K56" s="56">
        <v>3</v>
      </c>
      <c r="L56" s="56"/>
      <c r="M56" s="56"/>
      <c r="N56" s="200">
        <v>43374</v>
      </c>
      <c r="P56" s="56"/>
      <c r="Q56" s="56"/>
      <c r="R56" s="56"/>
      <c r="S56" s="56"/>
      <c r="T56" s="56"/>
      <c r="U56" s="56"/>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c r="BL56" s="56"/>
      <c r="BM56" s="56"/>
      <c r="BN56" s="56"/>
      <c r="BO56" s="56"/>
      <c r="BP56" s="56"/>
      <c r="BQ56" s="56"/>
      <c r="BR56" s="56"/>
    </row>
    <row r="57" spans="1:70" s="58" customFormat="1" ht="13" x14ac:dyDescent="0.3">
      <c r="A57" s="58">
        <v>968901</v>
      </c>
      <c r="B57" s="56" t="s">
        <v>175</v>
      </c>
      <c r="C57" s="203"/>
      <c r="D57" s="203"/>
      <c r="E57" s="203">
        <v>3200</v>
      </c>
      <c r="F57" s="203">
        <v>0</v>
      </c>
      <c r="G57" s="56"/>
      <c r="H57" s="203">
        <v>1271.523178807947</v>
      </c>
      <c r="I57" s="203">
        <v>1271.523178807947</v>
      </c>
      <c r="J57" s="56" t="s">
        <v>42</v>
      </c>
      <c r="K57" s="56">
        <v>3</v>
      </c>
      <c r="L57" s="56"/>
      <c r="M57" s="56"/>
      <c r="N57" s="200">
        <v>43374</v>
      </c>
      <c r="P57" s="56"/>
      <c r="Q57" s="56"/>
      <c r="R57" s="56"/>
      <c r="S57" s="56"/>
      <c r="T57" s="56"/>
      <c r="U57" s="56"/>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c r="BL57" s="56"/>
      <c r="BM57" s="56"/>
      <c r="BN57" s="56"/>
      <c r="BO57" s="56"/>
      <c r="BP57" s="56"/>
      <c r="BQ57" s="56"/>
      <c r="BR57" s="56"/>
    </row>
    <row r="58" spans="1:70" s="58" customFormat="1" ht="13" x14ac:dyDescent="0.3">
      <c r="A58" s="58">
        <v>968901</v>
      </c>
      <c r="B58" s="56" t="s">
        <v>174</v>
      </c>
      <c r="C58" s="203"/>
      <c r="D58" s="203"/>
      <c r="E58" s="203">
        <v>1826</v>
      </c>
      <c r="F58" s="203">
        <v>0</v>
      </c>
      <c r="G58" s="56"/>
      <c r="H58" s="203">
        <v>846.49006622516561</v>
      </c>
      <c r="I58" s="203">
        <v>846.49006622516561</v>
      </c>
      <c r="J58" s="56" t="s">
        <v>42</v>
      </c>
      <c r="K58" s="56">
        <v>3</v>
      </c>
      <c r="L58" s="56"/>
      <c r="M58" s="56"/>
      <c r="N58" s="200">
        <v>43374</v>
      </c>
      <c r="P58" s="56"/>
      <c r="Q58" s="56"/>
      <c r="R58" s="56"/>
      <c r="S58" s="56"/>
      <c r="T58" s="56"/>
      <c r="U58" s="56"/>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c r="BL58" s="56"/>
      <c r="BM58" s="56"/>
      <c r="BN58" s="56"/>
      <c r="BO58" s="56"/>
      <c r="BP58" s="56"/>
      <c r="BQ58" s="56"/>
      <c r="BR58" s="56"/>
    </row>
    <row r="59" spans="1:70" s="58" customFormat="1" ht="13" x14ac:dyDescent="0.3">
      <c r="A59" s="58">
        <v>968901</v>
      </c>
      <c r="B59" s="56" t="s">
        <v>171</v>
      </c>
      <c r="C59" s="203"/>
      <c r="D59" s="203"/>
      <c r="E59" s="203">
        <v>1916</v>
      </c>
      <c r="F59" s="203">
        <v>0</v>
      </c>
      <c r="G59" s="56"/>
      <c r="H59" s="203">
        <v>1522.6490066225165</v>
      </c>
      <c r="I59" s="203">
        <v>1522.6490066225165</v>
      </c>
      <c r="J59" s="56" t="s">
        <v>42</v>
      </c>
      <c r="K59" s="56">
        <v>3</v>
      </c>
      <c r="L59" s="56"/>
      <c r="M59" s="56"/>
      <c r="N59" s="200">
        <v>43374</v>
      </c>
      <c r="P59" s="56"/>
      <c r="Q59" s="56"/>
      <c r="R59" s="56"/>
      <c r="S59" s="56"/>
      <c r="T59" s="56"/>
      <c r="U59" s="56"/>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c r="BL59" s="56"/>
      <c r="BM59" s="56"/>
      <c r="BN59" s="56"/>
      <c r="BO59" s="56"/>
      <c r="BP59" s="56"/>
      <c r="BQ59" s="56"/>
      <c r="BR59" s="56"/>
    </row>
    <row r="60" spans="1:70" s="58" customFormat="1" ht="13" x14ac:dyDescent="0.3">
      <c r="A60" s="58">
        <v>968901</v>
      </c>
      <c r="B60" s="56" t="s">
        <v>172</v>
      </c>
      <c r="C60" s="203"/>
      <c r="D60" s="203"/>
      <c r="E60" s="203">
        <v>4415</v>
      </c>
      <c r="F60" s="203">
        <v>0</v>
      </c>
      <c r="G60" s="56"/>
      <c r="H60" s="203">
        <v>3800.993377483444</v>
      </c>
      <c r="I60" s="203">
        <v>3800.993377483444</v>
      </c>
      <c r="J60" s="56" t="s">
        <v>42</v>
      </c>
      <c r="K60" s="56">
        <v>3</v>
      </c>
      <c r="L60" s="56"/>
      <c r="M60" s="56"/>
      <c r="N60" s="200">
        <v>43374</v>
      </c>
      <c r="P60" s="56"/>
      <c r="Q60" s="56"/>
      <c r="R60" s="56"/>
      <c r="S60" s="56"/>
      <c r="T60" s="56"/>
      <c r="U60" s="56"/>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c r="BL60" s="56"/>
      <c r="BM60" s="56"/>
      <c r="BN60" s="56"/>
      <c r="BO60" s="56"/>
      <c r="BP60" s="56"/>
      <c r="BQ60" s="56"/>
      <c r="BR60" s="56"/>
    </row>
    <row r="61" spans="1:70" s="58" customFormat="1" ht="13" x14ac:dyDescent="0.3">
      <c r="A61" s="58">
        <v>968901</v>
      </c>
      <c r="B61" s="56" t="s">
        <v>173</v>
      </c>
      <c r="C61" s="203"/>
      <c r="D61" s="203"/>
      <c r="E61" s="203">
        <v>24</v>
      </c>
      <c r="F61" s="203">
        <v>0</v>
      </c>
      <c r="G61" s="56"/>
      <c r="H61" s="203">
        <v>12.715231788079471</v>
      </c>
      <c r="I61" s="203">
        <v>12.715231788079471</v>
      </c>
      <c r="J61" s="56" t="s">
        <v>42</v>
      </c>
      <c r="K61" s="56">
        <v>3</v>
      </c>
      <c r="L61" s="56"/>
      <c r="M61" s="56"/>
      <c r="N61" s="200">
        <v>43374</v>
      </c>
      <c r="P61" s="56"/>
      <c r="Q61" s="56"/>
      <c r="R61" s="56"/>
      <c r="S61" s="56"/>
      <c r="T61" s="56"/>
      <c r="U61" s="56"/>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c r="BL61" s="56"/>
      <c r="BM61" s="56"/>
      <c r="BN61" s="56"/>
      <c r="BO61" s="56"/>
      <c r="BP61" s="56"/>
      <c r="BQ61" s="56"/>
      <c r="BR61" s="56"/>
    </row>
    <row r="62" spans="1:70" s="58" customFormat="1" ht="13" x14ac:dyDescent="0.3">
      <c r="A62" s="58">
        <v>968901</v>
      </c>
      <c r="B62" s="56" t="s">
        <v>176</v>
      </c>
      <c r="C62" s="203"/>
      <c r="D62" s="203"/>
      <c r="E62" s="203">
        <v>5600</v>
      </c>
      <c r="F62" s="203">
        <v>0</v>
      </c>
      <c r="G62" s="56"/>
      <c r="H62" s="203">
        <v>1854.3046357615895</v>
      </c>
      <c r="I62" s="203">
        <v>1854.3046357615895</v>
      </c>
      <c r="J62" s="56" t="s">
        <v>42</v>
      </c>
      <c r="K62" s="56">
        <v>3</v>
      </c>
      <c r="L62" s="56"/>
      <c r="M62" s="56"/>
      <c r="N62" s="200">
        <v>43374</v>
      </c>
      <c r="P62" s="56"/>
      <c r="Q62" s="56"/>
      <c r="R62" s="56"/>
      <c r="S62" s="56"/>
      <c r="T62" s="56"/>
      <c r="U62" s="56"/>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c r="BL62" s="56"/>
      <c r="BM62" s="56"/>
      <c r="BN62" s="56"/>
      <c r="BO62" s="56"/>
      <c r="BP62" s="56"/>
      <c r="BQ62" s="56"/>
      <c r="BR62" s="56"/>
    </row>
    <row r="63" spans="1:70" s="58" customFormat="1" ht="13" x14ac:dyDescent="0.3">
      <c r="A63" s="58">
        <v>968903</v>
      </c>
      <c r="B63" s="56" t="s">
        <v>179</v>
      </c>
      <c r="C63" s="203"/>
      <c r="D63" s="203"/>
      <c r="E63" s="203">
        <v>496</v>
      </c>
      <c r="F63" s="203">
        <v>0</v>
      </c>
      <c r="G63" s="56"/>
      <c r="H63" s="203">
        <v>427.0198675496689</v>
      </c>
      <c r="I63" s="203">
        <v>427.0198675496689</v>
      </c>
      <c r="J63" s="56" t="s">
        <v>42</v>
      </c>
      <c r="K63" s="56">
        <v>3</v>
      </c>
      <c r="L63" s="56"/>
      <c r="M63" s="56"/>
      <c r="N63" s="200">
        <v>43405</v>
      </c>
      <c r="P63" s="56"/>
      <c r="Q63" s="56"/>
      <c r="R63" s="56"/>
      <c r="S63" s="56"/>
      <c r="T63" s="56"/>
      <c r="U63" s="56"/>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c r="BL63" s="56"/>
      <c r="BM63" s="56"/>
      <c r="BN63" s="56"/>
      <c r="BO63" s="56"/>
      <c r="BP63" s="56"/>
      <c r="BQ63" s="56"/>
      <c r="BR63" s="56"/>
    </row>
    <row r="64" spans="1:70" s="58" customFormat="1" ht="13" x14ac:dyDescent="0.3">
      <c r="A64" s="58">
        <v>968903</v>
      </c>
      <c r="B64" s="56" t="s">
        <v>179</v>
      </c>
      <c r="C64" s="203"/>
      <c r="D64" s="203"/>
      <c r="E64" s="203">
        <v>560</v>
      </c>
      <c r="F64" s="203">
        <v>0</v>
      </c>
      <c r="G64" s="56"/>
      <c r="H64" s="203">
        <v>111.25827814569537</v>
      </c>
      <c r="I64" s="203">
        <v>111.25827814569537</v>
      </c>
      <c r="J64" s="56" t="s">
        <v>42</v>
      </c>
      <c r="K64" s="56">
        <v>3</v>
      </c>
      <c r="L64" s="56"/>
      <c r="M64" s="56"/>
      <c r="N64" s="200">
        <v>43405</v>
      </c>
      <c r="P64" s="56"/>
      <c r="Q64" s="56"/>
      <c r="R64" s="56"/>
      <c r="S64" s="56"/>
      <c r="T64" s="56"/>
      <c r="U64" s="56"/>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c r="BL64" s="56"/>
      <c r="BM64" s="56"/>
      <c r="BN64" s="56"/>
      <c r="BO64" s="56"/>
      <c r="BP64" s="56"/>
      <c r="BQ64" s="56"/>
      <c r="BR64" s="56"/>
    </row>
    <row r="65" spans="1:70" s="58" customFormat="1" ht="13" x14ac:dyDescent="0.3">
      <c r="A65" s="58">
        <v>968903</v>
      </c>
      <c r="B65" s="56" t="s">
        <v>178</v>
      </c>
      <c r="C65" s="203"/>
      <c r="D65" s="203"/>
      <c r="E65" s="203">
        <v>9367</v>
      </c>
      <c r="F65" s="203">
        <v>0</v>
      </c>
      <c r="G65" s="56"/>
      <c r="H65" s="203">
        <v>1860.9933774834437</v>
      </c>
      <c r="I65" s="203">
        <v>1860.9933774834437</v>
      </c>
      <c r="J65" s="56" t="s">
        <v>42</v>
      </c>
      <c r="K65" s="56">
        <v>3</v>
      </c>
      <c r="L65" s="56"/>
      <c r="M65" s="56"/>
      <c r="N65" s="200">
        <v>43405</v>
      </c>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row>
    <row r="66" spans="1:70" s="58" customFormat="1" ht="13" x14ac:dyDescent="0.3">
      <c r="A66" s="58">
        <v>968903</v>
      </c>
      <c r="B66" s="56" t="s">
        <v>177</v>
      </c>
      <c r="C66" s="203"/>
      <c r="D66" s="203"/>
      <c r="E66" s="203">
        <v>1138</v>
      </c>
      <c r="F66" s="203">
        <v>0</v>
      </c>
      <c r="G66" s="56"/>
      <c r="H66" s="203">
        <v>979.73509933774835</v>
      </c>
      <c r="I66" s="203">
        <v>979.73509933774835</v>
      </c>
      <c r="J66" s="56" t="s">
        <v>42</v>
      </c>
      <c r="K66" s="56">
        <v>3</v>
      </c>
      <c r="L66" s="56"/>
      <c r="M66" s="56"/>
      <c r="N66" s="200">
        <v>43405</v>
      </c>
      <c r="P66" s="56"/>
      <c r="Q66" s="56"/>
      <c r="R66" s="56"/>
      <c r="S66" s="56"/>
      <c r="T66" s="56"/>
      <c r="U66" s="56"/>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row>
    <row r="67" spans="1:70" s="58" customFormat="1" ht="13" x14ac:dyDescent="0.3">
      <c r="A67" s="58">
        <v>968900</v>
      </c>
      <c r="B67" s="56" t="s">
        <v>137</v>
      </c>
      <c r="C67" s="203"/>
      <c r="D67" s="203"/>
      <c r="E67" s="203"/>
      <c r="F67" s="203">
        <v>0</v>
      </c>
      <c r="G67" s="56"/>
      <c r="H67" s="203">
        <v>0</v>
      </c>
      <c r="I67" s="203">
        <v>0</v>
      </c>
      <c r="J67" s="56"/>
      <c r="K67" s="56"/>
      <c r="L67" s="56"/>
      <c r="M67" s="56"/>
      <c r="N67" s="200">
        <v>43405</v>
      </c>
      <c r="P67" s="56"/>
      <c r="Q67" s="56"/>
      <c r="R67" s="56"/>
      <c r="S67" s="56"/>
      <c r="T67" s="56"/>
      <c r="U67" s="56"/>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row>
    <row r="68" spans="1:70" s="58" customFormat="1" ht="13" x14ac:dyDescent="0.3">
      <c r="A68" s="58">
        <v>968901</v>
      </c>
      <c r="B68" s="56" t="s">
        <v>137</v>
      </c>
      <c r="C68" s="203"/>
      <c r="D68" s="203"/>
      <c r="E68" s="203"/>
      <c r="F68" s="203">
        <v>0</v>
      </c>
      <c r="G68" s="56"/>
      <c r="H68" s="203">
        <v>0</v>
      </c>
      <c r="I68" s="203">
        <v>0</v>
      </c>
      <c r="J68" s="56"/>
      <c r="K68" s="56"/>
      <c r="L68" s="56"/>
      <c r="M68" s="56"/>
      <c r="N68" s="200">
        <v>43405</v>
      </c>
      <c r="P68" s="56"/>
      <c r="Q68" s="56"/>
      <c r="R68" s="56"/>
      <c r="S68" s="56"/>
      <c r="T68" s="56"/>
      <c r="U68" s="56"/>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row>
    <row r="69" spans="1:70" s="58" customFormat="1" ht="13" x14ac:dyDescent="0.3">
      <c r="A69" s="56">
        <v>968900</v>
      </c>
      <c r="B69" s="56" t="s">
        <v>137</v>
      </c>
      <c r="C69" s="203"/>
      <c r="D69" s="203"/>
      <c r="E69" s="203"/>
      <c r="F69" s="203">
        <v>0</v>
      </c>
      <c r="G69" s="56"/>
      <c r="H69" s="203">
        <v>0</v>
      </c>
      <c r="I69" s="203">
        <v>0</v>
      </c>
      <c r="J69" s="56"/>
      <c r="K69" s="56"/>
      <c r="L69" s="56"/>
      <c r="M69" s="56"/>
      <c r="N69" s="200">
        <v>43435</v>
      </c>
      <c r="P69" s="56"/>
      <c r="Q69" s="56"/>
      <c r="R69" s="56"/>
      <c r="S69" s="56"/>
      <c r="T69" s="56"/>
      <c r="U69" s="56"/>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c r="BL69" s="56"/>
      <c r="BM69" s="56"/>
      <c r="BN69" s="56"/>
      <c r="BO69" s="56"/>
      <c r="BP69" s="56"/>
      <c r="BQ69" s="56"/>
      <c r="BR69" s="56"/>
    </row>
    <row r="70" spans="1:70" s="58" customFormat="1" ht="13" x14ac:dyDescent="0.3">
      <c r="A70" s="56">
        <v>968901</v>
      </c>
      <c r="B70" s="56" t="s">
        <v>137</v>
      </c>
      <c r="C70" s="203"/>
      <c r="D70" s="203"/>
      <c r="E70" s="203"/>
      <c r="F70" s="203">
        <v>0</v>
      </c>
      <c r="G70" s="56"/>
      <c r="H70" s="203">
        <v>0</v>
      </c>
      <c r="I70" s="203">
        <v>0</v>
      </c>
      <c r="J70" s="56"/>
      <c r="K70" s="56"/>
      <c r="L70" s="56"/>
      <c r="M70" s="56"/>
      <c r="N70" s="200">
        <v>43435</v>
      </c>
      <c r="P70" s="56"/>
      <c r="Q70" s="56"/>
      <c r="R70" s="56"/>
      <c r="S70" s="56"/>
      <c r="T70" s="56"/>
      <c r="U70" s="56"/>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c r="BL70" s="56"/>
      <c r="BM70" s="56"/>
      <c r="BN70" s="56"/>
      <c r="BO70" s="56"/>
      <c r="BP70" s="56"/>
      <c r="BQ70" s="56"/>
      <c r="BR70" s="56"/>
    </row>
    <row r="71" spans="1:70" s="58" customFormat="1" ht="13" x14ac:dyDescent="0.3">
      <c r="A71" s="56">
        <v>968903</v>
      </c>
      <c r="B71" s="56" t="s">
        <v>137</v>
      </c>
      <c r="C71" s="203"/>
      <c r="D71" s="203"/>
      <c r="E71" s="203"/>
      <c r="F71" s="203">
        <v>0</v>
      </c>
      <c r="G71" s="56"/>
      <c r="H71" s="203">
        <v>0</v>
      </c>
      <c r="I71" s="203">
        <v>0</v>
      </c>
      <c r="J71" s="56"/>
      <c r="K71" s="56"/>
      <c r="L71" s="56"/>
      <c r="M71" s="56"/>
      <c r="N71" s="200">
        <v>43435</v>
      </c>
      <c r="P71" s="56"/>
      <c r="Q71" s="56"/>
      <c r="R71" s="56"/>
      <c r="S71" s="56"/>
      <c r="T71" s="56"/>
      <c r="U71" s="56"/>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c r="BL71" s="56"/>
      <c r="BM71" s="56"/>
      <c r="BN71" s="56"/>
      <c r="BO71" s="56"/>
      <c r="BP71" s="56"/>
      <c r="BQ71" s="56"/>
      <c r="BR71" s="56"/>
    </row>
    <row r="72" spans="1:70" s="58" customFormat="1" ht="13" x14ac:dyDescent="0.3">
      <c r="A72" s="58">
        <v>968904</v>
      </c>
      <c r="B72" s="56" t="s">
        <v>136</v>
      </c>
      <c r="C72" s="203"/>
      <c r="D72" s="203"/>
      <c r="E72" s="203"/>
      <c r="F72" s="203">
        <v>0</v>
      </c>
      <c r="G72" s="56"/>
      <c r="H72" s="203">
        <v>0</v>
      </c>
      <c r="I72" s="203">
        <v>0</v>
      </c>
      <c r="J72" s="56"/>
      <c r="K72" s="56"/>
      <c r="L72" s="56"/>
      <c r="M72" s="56"/>
      <c r="N72" s="200">
        <v>43435</v>
      </c>
      <c r="P72" s="56"/>
      <c r="Q72" s="56"/>
      <c r="R72" s="56"/>
      <c r="S72" s="56"/>
      <c r="T72" s="56"/>
      <c r="U72" s="56"/>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c r="BL72" s="56"/>
      <c r="BM72" s="56"/>
      <c r="BN72" s="56"/>
      <c r="BO72" s="56"/>
      <c r="BP72" s="56"/>
      <c r="BQ72" s="56"/>
      <c r="BR72" s="56"/>
    </row>
    <row r="73" spans="1:70" s="58" customFormat="1" ht="13" x14ac:dyDescent="0.3">
      <c r="A73" s="56">
        <v>968900</v>
      </c>
      <c r="B73" s="56" t="s">
        <v>181</v>
      </c>
      <c r="C73" s="203"/>
      <c r="D73" s="203"/>
      <c r="E73" s="203">
        <v>4247</v>
      </c>
      <c r="F73" s="203">
        <v>0</v>
      </c>
      <c r="G73" s="56"/>
      <c r="H73" s="203">
        <v>3740.735099337749</v>
      </c>
      <c r="I73" s="203">
        <v>3740.735099337749</v>
      </c>
      <c r="J73" s="56" t="s">
        <v>42</v>
      </c>
      <c r="K73" s="56">
        <v>3</v>
      </c>
      <c r="L73" s="56"/>
      <c r="M73" s="56"/>
      <c r="N73" s="200">
        <v>43466</v>
      </c>
      <c r="P73" s="56"/>
      <c r="Q73" s="56"/>
      <c r="R73" s="56"/>
      <c r="S73" s="56"/>
      <c r="T73" s="56"/>
      <c r="U73" s="56"/>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c r="BL73" s="56"/>
      <c r="BM73" s="56"/>
      <c r="BN73" s="56"/>
      <c r="BO73" s="56"/>
      <c r="BP73" s="56"/>
      <c r="BQ73" s="56"/>
      <c r="BR73" s="56"/>
    </row>
    <row r="74" spans="1:70" s="58" customFormat="1" ht="13" x14ac:dyDescent="0.3">
      <c r="A74" s="56">
        <v>968901</v>
      </c>
      <c r="B74" s="56" t="s">
        <v>183</v>
      </c>
      <c r="C74" s="203"/>
      <c r="D74" s="203"/>
      <c r="E74" s="203">
        <v>10475</v>
      </c>
      <c r="F74" s="203">
        <v>0</v>
      </c>
      <c r="G74" s="56"/>
      <c r="H74" s="203">
        <v>9018.2119205298022</v>
      </c>
      <c r="I74" s="203">
        <v>9018.2119205298022</v>
      </c>
      <c r="J74" s="56" t="s">
        <v>42</v>
      </c>
      <c r="K74" s="56">
        <v>3</v>
      </c>
      <c r="L74" s="56"/>
      <c r="M74" s="56"/>
      <c r="N74" s="200">
        <v>43466</v>
      </c>
      <c r="P74" s="56"/>
      <c r="Q74" s="56"/>
      <c r="R74" s="56"/>
      <c r="S74" s="56"/>
      <c r="T74" s="56"/>
      <c r="U74" s="56"/>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c r="BL74" s="56"/>
      <c r="BM74" s="56"/>
      <c r="BN74" s="56"/>
      <c r="BO74" s="56"/>
      <c r="BP74" s="56"/>
      <c r="BQ74" s="56"/>
      <c r="BR74" s="56"/>
    </row>
    <row r="75" spans="1:70" s="58" customFormat="1" ht="13" x14ac:dyDescent="0.3">
      <c r="A75" s="56">
        <v>968903</v>
      </c>
      <c r="B75" s="56" t="s">
        <v>137</v>
      </c>
      <c r="C75" s="203"/>
      <c r="D75" s="203"/>
      <c r="E75" s="203"/>
      <c r="F75" s="203">
        <v>0</v>
      </c>
      <c r="G75" s="56"/>
      <c r="H75" s="203">
        <v>0</v>
      </c>
      <c r="I75" s="203">
        <v>0</v>
      </c>
      <c r="J75" s="56"/>
      <c r="K75" s="56"/>
      <c r="L75" s="56"/>
      <c r="M75" s="56"/>
      <c r="N75" s="200">
        <v>43466</v>
      </c>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c r="BL75" s="56"/>
      <c r="BM75" s="56"/>
      <c r="BN75" s="56"/>
      <c r="BO75" s="56"/>
      <c r="BP75" s="56"/>
      <c r="BQ75" s="56"/>
      <c r="BR75" s="56"/>
    </row>
    <row r="76" spans="1:70" s="58" customFormat="1" ht="13" x14ac:dyDescent="0.3">
      <c r="A76" s="58">
        <v>968904</v>
      </c>
      <c r="B76" s="56" t="s">
        <v>182</v>
      </c>
      <c r="C76" s="203"/>
      <c r="D76" s="203"/>
      <c r="E76" s="203">
        <v>5825</v>
      </c>
      <c r="F76" s="203">
        <v>0</v>
      </c>
      <c r="G76" s="56"/>
      <c r="H76" s="203">
        <v>5014.9006622516554</v>
      </c>
      <c r="I76" s="203">
        <v>5014.9006622516554</v>
      </c>
      <c r="J76" s="56" t="s">
        <v>42</v>
      </c>
      <c r="K76" s="56">
        <v>3</v>
      </c>
      <c r="L76" s="56"/>
      <c r="M76" s="56"/>
      <c r="N76" s="200">
        <v>43466</v>
      </c>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c r="BL76" s="56"/>
      <c r="BM76" s="56"/>
      <c r="BN76" s="56"/>
      <c r="BO76" s="56"/>
      <c r="BP76" s="56"/>
      <c r="BQ76" s="56"/>
      <c r="BR76" s="56"/>
    </row>
    <row r="77" spans="1:70" s="58" customFormat="1" ht="13" x14ac:dyDescent="0.3">
      <c r="A77" s="56">
        <v>968900</v>
      </c>
      <c r="B77" s="56" t="s">
        <v>181</v>
      </c>
      <c r="C77" s="203"/>
      <c r="D77" s="203"/>
      <c r="E77" s="203">
        <v>14115</v>
      </c>
      <c r="F77" s="203">
        <v>0</v>
      </c>
      <c r="G77" s="56"/>
      <c r="H77" s="203">
        <v>12151.986754966887</v>
      </c>
      <c r="I77" s="203">
        <v>12151.986754966887</v>
      </c>
      <c r="J77" s="56" t="s">
        <v>42</v>
      </c>
      <c r="K77" s="56">
        <v>3</v>
      </c>
      <c r="L77" s="56"/>
      <c r="M77" s="56"/>
      <c r="N77" s="200">
        <v>43497</v>
      </c>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c r="BL77" s="56"/>
      <c r="BM77" s="56"/>
      <c r="BN77" s="56"/>
      <c r="BO77" s="56"/>
      <c r="BP77" s="56"/>
      <c r="BQ77" s="56"/>
      <c r="BR77" s="56"/>
    </row>
    <row r="78" spans="1:70" s="58" customFormat="1" ht="13" x14ac:dyDescent="0.3">
      <c r="A78" s="56">
        <v>968900</v>
      </c>
      <c r="B78" s="56" t="s">
        <v>189</v>
      </c>
      <c r="C78" s="203"/>
      <c r="D78" s="203"/>
      <c r="E78" s="203">
        <v>1800</v>
      </c>
      <c r="F78" s="203">
        <v>0</v>
      </c>
      <c r="G78" s="56"/>
      <c r="H78" s="203">
        <v>1549.6688741721855</v>
      </c>
      <c r="I78" s="203">
        <v>1549.6688741721855</v>
      </c>
      <c r="J78" s="56" t="s">
        <v>42</v>
      </c>
      <c r="K78" s="56">
        <v>3</v>
      </c>
      <c r="L78" s="56"/>
      <c r="M78" s="56"/>
      <c r="N78" s="200">
        <v>43497</v>
      </c>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c r="BL78" s="56"/>
      <c r="BM78" s="56"/>
      <c r="BN78" s="56"/>
      <c r="BO78" s="56"/>
      <c r="BP78" s="56"/>
      <c r="BQ78" s="56"/>
      <c r="BR78" s="56"/>
    </row>
    <row r="79" spans="1:70" s="58" customFormat="1" ht="13" x14ac:dyDescent="0.3">
      <c r="A79" s="56">
        <v>968900</v>
      </c>
      <c r="B79" s="56" t="s">
        <v>190</v>
      </c>
      <c r="C79" s="203"/>
      <c r="D79" s="203"/>
      <c r="E79" s="203">
        <v>4700</v>
      </c>
      <c r="F79" s="203">
        <v>0</v>
      </c>
      <c r="G79" s="56"/>
      <c r="H79" s="203">
        <v>4046.35761589404</v>
      </c>
      <c r="I79" s="203">
        <v>4046.35761589404</v>
      </c>
      <c r="J79" s="56" t="s">
        <v>42</v>
      </c>
      <c r="K79" s="56">
        <v>3</v>
      </c>
      <c r="L79" s="56"/>
      <c r="M79" s="56"/>
      <c r="N79" s="200">
        <v>43497</v>
      </c>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c r="BL79" s="56"/>
      <c r="BM79" s="56"/>
      <c r="BN79" s="56"/>
      <c r="BO79" s="56"/>
      <c r="BP79" s="56"/>
      <c r="BQ79" s="56"/>
      <c r="BR79" s="56"/>
    </row>
    <row r="80" spans="1:70" s="58" customFormat="1" ht="13" x14ac:dyDescent="0.3">
      <c r="A80" s="56">
        <v>968900</v>
      </c>
      <c r="B80" s="56" t="s">
        <v>191</v>
      </c>
      <c r="C80" s="203"/>
      <c r="D80" s="203"/>
      <c r="E80" s="203">
        <v>3606</v>
      </c>
      <c r="F80" s="203">
        <v>0</v>
      </c>
      <c r="G80" s="56"/>
      <c r="H80" s="203">
        <v>3104.5033112582782</v>
      </c>
      <c r="I80" s="203">
        <v>3104.5033112582782</v>
      </c>
      <c r="J80" s="56" t="s">
        <v>42</v>
      </c>
      <c r="K80" s="56">
        <v>3</v>
      </c>
      <c r="L80" s="56"/>
      <c r="M80" s="56"/>
      <c r="N80" s="200">
        <v>43497</v>
      </c>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row>
    <row r="81" spans="1:70" s="58" customFormat="1" ht="13" x14ac:dyDescent="0.3">
      <c r="A81" s="56">
        <v>968901</v>
      </c>
      <c r="B81" s="56" t="s">
        <v>192</v>
      </c>
      <c r="C81" s="203"/>
      <c r="D81" s="203"/>
      <c r="E81" s="203">
        <v>3228</v>
      </c>
      <c r="F81" s="203">
        <v>0</v>
      </c>
      <c r="G81" s="56"/>
      <c r="H81" s="203">
        <v>2779.0728476821191</v>
      </c>
      <c r="I81" s="203">
        <v>2779.0728476821191</v>
      </c>
      <c r="J81" s="56" t="s">
        <v>42</v>
      </c>
      <c r="K81" s="56">
        <v>3</v>
      </c>
      <c r="L81" s="56"/>
      <c r="M81" s="56"/>
      <c r="N81" s="200">
        <v>43497</v>
      </c>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c r="BL81" s="56"/>
      <c r="BM81" s="56"/>
      <c r="BN81" s="56"/>
      <c r="BO81" s="56"/>
      <c r="BP81" s="56"/>
      <c r="BQ81" s="56"/>
      <c r="BR81" s="56"/>
    </row>
    <row r="82" spans="1:70" s="58" customFormat="1" ht="13" x14ac:dyDescent="0.3">
      <c r="A82" s="56">
        <v>968901</v>
      </c>
      <c r="B82" s="56" t="s">
        <v>192</v>
      </c>
      <c r="C82" s="203"/>
      <c r="D82" s="203"/>
      <c r="E82" s="203">
        <v>8190</v>
      </c>
      <c r="F82" s="203">
        <v>0</v>
      </c>
      <c r="G82" s="56"/>
      <c r="H82" s="203">
        <v>5423.8410596026488</v>
      </c>
      <c r="I82" s="203">
        <v>5423.8410596026488</v>
      </c>
      <c r="J82" s="56" t="s">
        <v>42</v>
      </c>
      <c r="K82" s="56">
        <v>3</v>
      </c>
      <c r="L82" s="56"/>
      <c r="M82" s="56"/>
      <c r="N82" s="200">
        <v>43497</v>
      </c>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c r="BL82" s="56"/>
      <c r="BM82" s="56"/>
      <c r="BN82" s="56"/>
      <c r="BO82" s="56"/>
      <c r="BP82" s="56"/>
      <c r="BQ82" s="56"/>
      <c r="BR82" s="56"/>
    </row>
    <row r="83" spans="1:70" s="58" customFormat="1" ht="13" x14ac:dyDescent="0.3">
      <c r="A83" s="56">
        <v>968901</v>
      </c>
      <c r="B83" s="56" t="s">
        <v>193</v>
      </c>
      <c r="C83" s="203"/>
      <c r="D83" s="203"/>
      <c r="E83" s="203">
        <v>21250</v>
      </c>
      <c r="F83" s="203">
        <v>0</v>
      </c>
      <c r="G83" s="56"/>
      <c r="H83" s="203">
        <v>14072.847682119205</v>
      </c>
      <c r="I83" s="203">
        <v>14072.847682119205</v>
      </c>
      <c r="J83" s="56" t="s">
        <v>42</v>
      </c>
      <c r="K83" s="56">
        <v>3</v>
      </c>
      <c r="L83" s="56"/>
      <c r="M83" s="56"/>
      <c r="N83" s="200">
        <v>43497</v>
      </c>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c r="BL83" s="56"/>
      <c r="BM83" s="56"/>
      <c r="BN83" s="56"/>
      <c r="BO83" s="56"/>
      <c r="BP83" s="56"/>
      <c r="BQ83" s="56"/>
      <c r="BR83" s="56"/>
    </row>
    <row r="84" spans="1:70" s="58" customFormat="1" ht="13" x14ac:dyDescent="0.3">
      <c r="A84" s="56">
        <v>968903</v>
      </c>
      <c r="B84" s="56" t="s">
        <v>180</v>
      </c>
      <c r="C84" s="203"/>
      <c r="D84" s="203"/>
      <c r="E84" s="203">
        <v>9250</v>
      </c>
      <c r="F84" s="203">
        <v>0</v>
      </c>
      <c r="G84" s="56"/>
      <c r="H84" s="203">
        <v>7963.5761589403974</v>
      </c>
      <c r="I84" s="203">
        <v>7963.5761589403974</v>
      </c>
      <c r="J84" s="56" t="s">
        <v>42</v>
      </c>
      <c r="K84" s="56">
        <v>3</v>
      </c>
      <c r="L84" s="56"/>
      <c r="M84" s="56"/>
      <c r="N84" s="200">
        <v>43497</v>
      </c>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c r="BL84" s="56"/>
      <c r="BM84" s="56"/>
      <c r="BN84" s="56"/>
      <c r="BO84" s="56"/>
      <c r="BP84" s="56"/>
      <c r="BQ84" s="56"/>
      <c r="BR84" s="56"/>
    </row>
    <row r="85" spans="1:70" s="58" customFormat="1" ht="13" x14ac:dyDescent="0.3">
      <c r="A85" s="56">
        <v>968903</v>
      </c>
      <c r="B85" s="56" t="s">
        <v>189</v>
      </c>
      <c r="C85" s="203"/>
      <c r="D85" s="203"/>
      <c r="E85" s="203">
        <v>12885</v>
      </c>
      <c r="F85" s="203">
        <v>0</v>
      </c>
      <c r="G85" s="56"/>
      <c r="H85" s="203">
        <v>8533.1125827814576</v>
      </c>
      <c r="I85" s="203">
        <v>8533.1125827814576</v>
      </c>
      <c r="J85" s="56" t="s">
        <v>42</v>
      </c>
      <c r="K85" s="56">
        <v>3</v>
      </c>
      <c r="L85" s="56"/>
      <c r="M85" s="56"/>
      <c r="N85" s="200">
        <v>43497</v>
      </c>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c r="BL85" s="56"/>
      <c r="BM85" s="56"/>
      <c r="BN85" s="56"/>
      <c r="BO85" s="56"/>
      <c r="BP85" s="56"/>
      <c r="BQ85" s="56"/>
      <c r="BR85" s="56"/>
    </row>
    <row r="86" spans="1:70" s="58" customFormat="1" ht="13" x14ac:dyDescent="0.3">
      <c r="A86" s="58">
        <v>968904</v>
      </c>
      <c r="B86" s="56" t="s">
        <v>182</v>
      </c>
      <c r="C86" s="203"/>
      <c r="D86" s="203"/>
      <c r="E86" s="203">
        <v>5024</v>
      </c>
      <c r="F86" s="203">
        <v>0</v>
      </c>
      <c r="G86" s="56"/>
      <c r="H86" s="203">
        <v>4325.298013245033</v>
      </c>
      <c r="I86" s="203">
        <v>4325.298013245033</v>
      </c>
      <c r="J86" s="56" t="s">
        <v>42</v>
      </c>
      <c r="K86" s="56">
        <v>3</v>
      </c>
      <c r="L86" s="56"/>
      <c r="M86" s="56"/>
      <c r="N86" s="200">
        <v>43497</v>
      </c>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c r="BL86" s="56"/>
      <c r="BM86" s="56"/>
      <c r="BN86" s="56"/>
      <c r="BO86" s="56"/>
      <c r="BP86" s="56"/>
      <c r="BQ86" s="56"/>
      <c r="BR86" s="56"/>
    </row>
    <row r="87" spans="1:70" s="58" customFormat="1" ht="13" x14ac:dyDescent="0.3">
      <c r="A87" s="58">
        <v>968904</v>
      </c>
      <c r="B87" s="56" t="s">
        <v>188</v>
      </c>
      <c r="C87" s="203"/>
      <c r="D87" s="203"/>
      <c r="E87" s="203">
        <v>7928</v>
      </c>
      <c r="F87" s="203">
        <v>0</v>
      </c>
      <c r="G87" s="56"/>
      <c r="H87" s="203">
        <v>6825.4304635761591</v>
      </c>
      <c r="I87" s="203">
        <v>6825.4304635761591</v>
      </c>
      <c r="J87" s="56" t="s">
        <v>42</v>
      </c>
      <c r="K87" s="56">
        <v>3</v>
      </c>
      <c r="L87" s="56"/>
      <c r="M87" s="56"/>
      <c r="N87" s="200">
        <v>43497</v>
      </c>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c r="BL87" s="56"/>
      <c r="BM87" s="56"/>
      <c r="BN87" s="56"/>
      <c r="BO87" s="56"/>
      <c r="BP87" s="56"/>
      <c r="BQ87" s="56"/>
      <c r="BR87" s="56"/>
    </row>
    <row r="88" spans="1:70" s="58" customFormat="1" ht="13" x14ac:dyDescent="0.3">
      <c r="A88" s="58">
        <v>968904</v>
      </c>
      <c r="B88" s="56" t="s">
        <v>194</v>
      </c>
      <c r="C88" s="203"/>
      <c r="D88" s="203"/>
      <c r="E88" s="203">
        <v>635</v>
      </c>
      <c r="F88" s="203">
        <v>0</v>
      </c>
      <c r="G88" s="56"/>
      <c r="H88" s="203">
        <v>546.68874172185429</v>
      </c>
      <c r="I88" s="203">
        <v>546.68874172185429</v>
      </c>
      <c r="J88" s="56" t="s">
        <v>42</v>
      </c>
      <c r="K88" s="56">
        <v>3</v>
      </c>
      <c r="L88" s="56"/>
      <c r="M88" s="56"/>
      <c r="N88" s="200">
        <v>43497</v>
      </c>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c r="BL88" s="56"/>
      <c r="BM88" s="56"/>
      <c r="BN88" s="56"/>
      <c r="BO88" s="56"/>
      <c r="BP88" s="56"/>
      <c r="BQ88" s="56"/>
      <c r="BR88" s="56"/>
    </row>
    <row r="89" spans="1:70" s="58" customFormat="1" ht="13" x14ac:dyDescent="0.3">
      <c r="A89" s="56">
        <v>968900</v>
      </c>
      <c r="B89" s="56" t="s">
        <v>195</v>
      </c>
      <c r="C89" s="203"/>
      <c r="D89" s="203"/>
      <c r="E89" s="203">
        <v>1830</v>
      </c>
      <c r="F89" s="203">
        <v>0</v>
      </c>
      <c r="G89" s="56"/>
      <c r="H89" s="203">
        <v>1575.496688741722</v>
      </c>
      <c r="I89" s="203">
        <v>1575.496688741722</v>
      </c>
      <c r="J89" s="56" t="s">
        <v>42</v>
      </c>
      <c r="K89" s="56">
        <v>3</v>
      </c>
      <c r="L89" s="56"/>
      <c r="M89" s="56"/>
      <c r="N89" s="200">
        <v>43525</v>
      </c>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c r="BL89" s="56"/>
      <c r="BM89" s="56"/>
      <c r="BN89" s="56"/>
      <c r="BO89" s="56"/>
      <c r="BP89" s="56"/>
      <c r="BQ89" s="56"/>
      <c r="BR89" s="56"/>
    </row>
    <row r="90" spans="1:70" s="58" customFormat="1" ht="13" x14ac:dyDescent="0.3">
      <c r="A90" s="56">
        <v>968900</v>
      </c>
      <c r="B90" s="56" t="s">
        <v>191</v>
      </c>
      <c r="C90" s="203"/>
      <c r="D90" s="203"/>
      <c r="E90" s="203">
        <v>26735</v>
      </c>
      <c r="F90" s="203">
        <v>0</v>
      </c>
      <c r="G90" s="56"/>
      <c r="H90" s="203">
        <v>23016.887417218542</v>
      </c>
      <c r="I90" s="203">
        <v>23016.887417218542</v>
      </c>
      <c r="J90" s="56" t="s">
        <v>42</v>
      </c>
      <c r="K90" s="56">
        <v>3</v>
      </c>
      <c r="L90" s="56"/>
      <c r="M90" s="56"/>
      <c r="N90" s="200">
        <v>43525</v>
      </c>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c r="BL90" s="56"/>
      <c r="BM90" s="56"/>
      <c r="BN90" s="56"/>
      <c r="BO90" s="56"/>
      <c r="BP90" s="56"/>
      <c r="BQ90" s="56"/>
      <c r="BR90" s="56"/>
    </row>
    <row r="91" spans="1:70" s="58" customFormat="1" ht="13" x14ac:dyDescent="0.3">
      <c r="A91" s="56">
        <v>968900</v>
      </c>
      <c r="B91" s="56" t="s">
        <v>196</v>
      </c>
      <c r="C91" s="203"/>
      <c r="D91" s="203"/>
      <c r="E91" s="203">
        <v>8325</v>
      </c>
      <c r="F91" s="203">
        <v>0</v>
      </c>
      <c r="G91" s="56"/>
      <c r="H91" s="203">
        <v>826.98675496688747</v>
      </c>
      <c r="I91" s="203">
        <v>826.98675496688747</v>
      </c>
      <c r="J91" s="56" t="s">
        <v>42</v>
      </c>
      <c r="K91" s="56">
        <v>3</v>
      </c>
      <c r="L91" s="56"/>
      <c r="M91" s="56"/>
      <c r="N91" s="200">
        <v>43525</v>
      </c>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c r="BL91" s="56"/>
      <c r="BM91" s="56"/>
      <c r="BN91" s="56"/>
      <c r="BO91" s="56"/>
      <c r="BP91" s="56"/>
      <c r="BQ91" s="56"/>
      <c r="BR91" s="56"/>
    </row>
    <row r="92" spans="1:70" s="58" customFormat="1" ht="13" x14ac:dyDescent="0.3">
      <c r="A92" s="56">
        <v>968900</v>
      </c>
      <c r="B92" s="56" t="s">
        <v>197</v>
      </c>
      <c r="C92" s="203"/>
      <c r="D92" s="203"/>
      <c r="E92" s="203">
        <v>4600</v>
      </c>
      <c r="F92" s="203">
        <v>0</v>
      </c>
      <c r="G92" s="56"/>
      <c r="H92" s="203">
        <v>3960.2649006622519</v>
      </c>
      <c r="I92" s="203">
        <v>3960.2649006622519</v>
      </c>
      <c r="J92" s="56" t="s">
        <v>42</v>
      </c>
      <c r="K92" s="56">
        <v>3</v>
      </c>
      <c r="L92" s="56"/>
      <c r="M92" s="56"/>
      <c r="N92" s="200">
        <v>43525</v>
      </c>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c r="BL92" s="56"/>
      <c r="BM92" s="56"/>
      <c r="BN92" s="56"/>
      <c r="BO92" s="56"/>
      <c r="BP92" s="56"/>
      <c r="BQ92" s="56"/>
      <c r="BR92" s="56"/>
    </row>
    <row r="93" spans="1:70" s="58" customFormat="1" ht="13" x14ac:dyDescent="0.3">
      <c r="A93" s="56">
        <v>968901</v>
      </c>
      <c r="B93" s="56" t="s">
        <v>201</v>
      </c>
      <c r="C93" s="203"/>
      <c r="D93" s="203"/>
      <c r="E93" s="203">
        <v>6032</v>
      </c>
      <c r="F93" s="203">
        <v>0</v>
      </c>
      <c r="G93" s="56"/>
      <c r="H93" s="203">
        <v>3595.2317880794703</v>
      </c>
      <c r="I93" s="203">
        <v>3595.2317880794703</v>
      </c>
      <c r="J93" s="56" t="s">
        <v>42</v>
      </c>
      <c r="K93" s="56">
        <v>3</v>
      </c>
      <c r="L93" s="56"/>
      <c r="M93" s="56"/>
      <c r="N93" s="200">
        <v>43525</v>
      </c>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c r="BL93" s="56"/>
      <c r="BM93" s="56"/>
      <c r="BN93" s="56"/>
      <c r="BO93" s="56"/>
      <c r="BP93" s="56"/>
      <c r="BQ93" s="56"/>
      <c r="BR93" s="56"/>
    </row>
    <row r="94" spans="1:70" s="58" customFormat="1" ht="13" x14ac:dyDescent="0.3">
      <c r="A94" s="56">
        <v>968901</v>
      </c>
      <c r="B94" s="56" t="s">
        <v>203</v>
      </c>
      <c r="C94" s="203"/>
      <c r="D94" s="203"/>
      <c r="E94" s="203">
        <v>5490</v>
      </c>
      <c r="F94" s="203">
        <v>0</v>
      </c>
      <c r="G94" s="56"/>
      <c r="H94" s="203">
        <v>4181.1258278145697</v>
      </c>
      <c r="I94" s="203">
        <v>4181.1258278145697</v>
      </c>
      <c r="J94" s="56" t="s">
        <v>42</v>
      </c>
      <c r="K94" s="56">
        <v>3</v>
      </c>
      <c r="L94" s="56"/>
      <c r="M94" s="56"/>
      <c r="N94" s="200">
        <v>43525</v>
      </c>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c r="BL94" s="56"/>
      <c r="BM94" s="56"/>
      <c r="BN94" s="56"/>
      <c r="BO94" s="56"/>
      <c r="BP94" s="56"/>
      <c r="BQ94" s="56"/>
      <c r="BR94" s="56"/>
    </row>
    <row r="95" spans="1:70" s="58" customFormat="1" ht="13" x14ac:dyDescent="0.3">
      <c r="A95" s="56">
        <v>968901</v>
      </c>
      <c r="B95" s="56" t="s">
        <v>204</v>
      </c>
      <c r="C95" s="203"/>
      <c r="D95" s="203"/>
      <c r="E95" s="203">
        <v>23990</v>
      </c>
      <c r="F95" s="203">
        <v>0</v>
      </c>
      <c r="G95" s="56"/>
      <c r="H95" s="203">
        <v>18270.529801324505</v>
      </c>
      <c r="I95" s="203">
        <v>18270.529801324505</v>
      </c>
      <c r="J95" s="56" t="s">
        <v>42</v>
      </c>
      <c r="K95" s="56">
        <v>3</v>
      </c>
      <c r="L95" s="56"/>
      <c r="M95" s="56"/>
      <c r="N95" s="200">
        <v>43525</v>
      </c>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c r="BL95" s="56"/>
      <c r="BM95" s="56"/>
      <c r="BN95" s="56"/>
      <c r="BO95" s="56"/>
      <c r="BP95" s="56"/>
      <c r="BQ95" s="56"/>
      <c r="BR95" s="56"/>
    </row>
    <row r="96" spans="1:70" s="58" customFormat="1" ht="13" x14ac:dyDescent="0.3">
      <c r="A96" s="56">
        <v>968903</v>
      </c>
      <c r="B96" s="56" t="s">
        <v>206</v>
      </c>
      <c r="C96" s="203"/>
      <c r="D96" s="203"/>
      <c r="E96" s="203">
        <v>11115</v>
      </c>
      <c r="F96" s="203">
        <v>0</v>
      </c>
      <c r="G96" s="56"/>
      <c r="H96" s="203">
        <v>8612.2847682119191</v>
      </c>
      <c r="I96" s="203">
        <v>8612.2847682119191</v>
      </c>
      <c r="J96" s="56" t="s">
        <v>42</v>
      </c>
      <c r="K96" s="56">
        <v>3</v>
      </c>
      <c r="L96" s="56"/>
      <c r="M96" s="56"/>
      <c r="N96" s="200">
        <v>43525</v>
      </c>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c r="BL96" s="56"/>
      <c r="BM96" s="56"/>
      <c r="BN96" s="56"/>
      <c r="BO96" s="56"/>
      <c r="BP96" s="56"/>
      <c r="BQ96" s="56"/>
      <c r="BR96" s="56"/>
    </row>
    <row r="97" spans="1:70" s="58" customFormat="1" ht="13" x14ac:dyDescent="0.3">
      <c r="A97" s="56">
        <v>968903</v>
      </c>
      <c r="B97" s="56" t="s">
        <v>207</v>
      </c>
      <c r="C97" s="203"/>
      <c r="D97" s="203"/>
      <c r="E97" s="203">
        <v>3060</v>
      </c>
      <c r="F97" s="203">
        <v>0</v>
      </c>
      <c r="G97" s="56"/>
      <c r="H97" s="203">
        <v>1215.8940397350993</v>
      </c>
      <c r="I97" s="203">
        <v>1215.8940397350993</v>
      </c>
      <c r="J97" s="56" t="s">
        <v>42</v>
      </c>
      <c r="K97" s="56">
        <v>3</v>
      </c>
      <c r="L97" s="56"/>
      <c r="M97" s="56"/>
      <c r="N97" s="200">
        <v>43525</v>
      </c>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c r="BL97" s="56"/>
      <c r="BM97" s="56"/>
      <c r="BN97" s="56"/>
      <c r="BO97" s="56"/>
      <c r="BP97" s="56"/>
      <c r="BQ97" s="56"/>
      <c r="BR97" s="56"/>
    </row>
    <row r="98" spans="1:70" s="58" customFormat="1" ht="13" x14ac:dyDescent="0.3">
      <c r="A98" s="58">
        <v>968903</v>
      </c>
      <c r="B98" s="56" t="s">
        <v>208</v>
      </c>
      <c r="C98" s="203"/>
      <c r="D98" s="203"/>
      <c r="E98" s="203">
        <v>10165</v>
      </c>
      <c r="F98" s="203">
        <v>0</v>
      </c>
      <c r="G98" s="56"/>
      <c r="H98" s="203">
        <v>1144.4039735099338</v>
      </c>
      <c r="I98" s="203">
        <v>1144.4039735099338</v>
      </c>
      <c r="J98" s="56" t="s">
        <v>42</v>
      </c>
      <c r="K98" s="56">
        <v>3</v>
      </c>
      <c r="L98" s="56"/>
      <c r="M98" s="56"/>
      <c r="N98" s="200">
        <v>43525</v>
      </c>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56"/>
      <c r="BN98" s="56"/>
      <c r="BO98" s="56"/>
      <c r="BP98" s="56"/>
      <c r="BQ98" s="56"/>
      <c r="BR98" s="56"/>
    </row>
    <row r="99" spans="1:70" s="58" customFormat="1" ht="13" x14ac:dyDescent="0.3">
      <c r="A99" s="58">
        <v>968903</v>
      </c>
      <c r="B99" s="56" t="s">
        <v>202</v>
      </c>
      <c r="C99" s="203"/>
      <c r="D99" s="203"/>
      <c r="E99" s="203">
        <v>4960</v>
      </c>
      <c r="F99" s="203">
        <v>0</v>
      </c>
      <c r="G99" s="56"/>
      <c r="H99" s="203">
        <v>4270.1986754966892</v>
      </c>
      <c r="I99" s="203">
        <v>4270.1986754966892</v>
      </c>
      <c r="J99" s="56" t="s">
        <v>42</v>
      </c>
      <c r="K99" s="56">
        <v>3</v>
      </c>
      <c r="L99" s="56"/>
      <c r="M99" s="56"/>
      <c r="N99" s="200">
        <v>43525</v>
      </c>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c r="BL99" s="56"/>
      <c r="BM99" s="56"/>
      <c r="BN99" s="56"/>
      <c r="BO99" s="56"/>
      <c r="BP99" s="56"/>
      <c r="BQ99" s="56"/>
      <c r="BR99" s="56"/>
    </row>
    <row r="100" spans="1:70" s="58" customFormat="1" ht="13" x14ac:dyDescent="0.3">
      <c r="A100" s="58">
        <v>968903</v>
      </c>
      <c r="B100" s="56" t="s">
        <v>202</v>
      </c>
      <c r="C100" s="203"/>
      <c r="D100" s="203"/>
      <c r="E100" s="203">
        <v>1140</v>
      </c>
      <c r="F100" s="203">
        <v>0</v>
      </c>
      <c r="G100" s="56"/>
      <c r="H100" s="203">
        <v>754.96688741721857</v>
      </c>
      <c r="I100" s="203">
        <v>754.96688741721857</v>
      </c>
      <c r="J100" s="56" t="s">
        <v>42</v>
      </c>
      <c r="K100" s="56">
        <v>3</v>
      </c>
      <c r="L100" s="56"/>
      <c r="M100" s="56"/>
      <c r="N100" s="200">
        <v>43525</v>
      </c>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c r="BL100" s="56"/>
      <c r="BM100" s="56"/>
      <c r="BN100" s="56"/>
      <c r="BO100" s="56"/>
      <c r="BP100" s="56"/>
      <c r="BQ100" s="56"/>
      <c r="BR100" s="56"/>
    </row>
    <row r="101" spans="1:70" s="58" customFormat="1" ht="13" x14ac:dyDescent="0.3">
      <c r="A101" s="58">
        <v>968904</v>
      </c>
      <c r="B101" s="56" t="s">
        <v>198</v>
      </c>
      <c r="C101" s="203"/>
      <c r="D101" s="203"/>
      <c r="E101" s="203">
        <v>12165</v>
      </c>
      <c r="F101" s="203">
        <v>0</v>
      </c>
      <c r="G101" s="56"/>
      <c r="H101" s="203">
        <v>10473.178807947021</v>
      </c>
      <c r="I101" s="203">
        <v>10473.178807947021</v>
      </c>
      <c r="J101" s="56" t="s">
        <v>42</v>
      </c>
      <c r="K101" s="56">
        <v>3</v>
      </c>
      <c r="L101" s="56"/>
      <c r="M101" s="56"/>
      <c r="N101" s="200">
        <v>43525</v>
      </c>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c r="BL101" s="56"/>
      <c r="BM101" s="56"/>
      <c r="BN101" s="56"/>
      <c r="BO101" s="56"/>
      <c r="BP101" s="56"/>
      <c r="BQ101" s="56"/>
      <c r="BR101" s="56"/>
    </row>
    <row r="102" spans="1:70" s="58" customFormat="1" ht="13" x14ac:dyDescent="0.3">
      <c r="A102" s="58">
        <v>968904</v>
      </c>
      <c r="B102" s="56" t="s">
        <v>199</v>
      </c>
      <c r="C102" s="203"/>
      <c r="D102" s="203"/>
      <c r="E102" s="203">
        <v>7930</v>
      </c>
      <c r="F102" s="203">
        <v>0</v>
      </c>
      <c r="G102" s="56"/>
      <c r="H102" s="203">
        <v>6827.1523178807947</v>
      </c>
      <c r="I102" s="203">
        <v>6827.1523178807947</v>
      </c>
      <c r="J102" s="56" t="s">
        <v>42</v>
      </c>
      <c r="K102" s="56">
        <v>3</v>
      </c>
      <c r="L102" s="56"/>
      <c r="M102" s="56"/>
      <c r="N102" s="200">
        <v>43525</v>
      </c>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c r="BL102" s="56"/>
      <c r="BM102" s="56"/>
      <c r="BN102" s="56"/>
      <c r="BO102" s="56"/>
      <c r="BP102" s="56"/>
      <c r="BQ102" s="56"/>
      <c r="BR102" s="56"/>
    </row>
    <row r="103" spans="1:70" s="58" customFormat="1" ht="13" x14ac:dyDescent="0.3">
      <c r="A103" s="58">
        <v>968904</v>
      </c>
      <c r="B103" s="56" t="s">
        <v>197</v>
      </c>
      <c r="C103" s="203"/>
      <c r="D103" s="203"/>
      <c r="E103" s="203">
        <v>11470</v>
      </c>
      <c r="F103" s="203">
        <v>0</v>
      </c>
      <c r="G103" s="56"/>
      <c r="H103" s="203">
        <v>9874.8344370860923</v>
      </c>
      <c r="I103" s="203">
        <v>9874.8344370860923</v>
      </c>
      <c r="J103" s="56" t="s">
        <v>42</v>
      </c>
      <c r="K103" s="56">
        <v>3</v>
      </c>
      <c r="L103" s="56"/>
      <c r="M103" s="56"/>
      <c r="N103" s="200">
        <v>43525</v>
      </c>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c r="BL103" s="56"/>
      <c r="BM103" s="56"/>
      <c r="BN103" s="56"/>
      <c r="BO103" s="56"/>
      <c r="BP103" s="56"/>
      <c r="BQ103" s="56"/>
      <c r="BR103" s="56"/>
    </row>
    <row r="104" spans="1:70" s="58" customFormat="1" ht="13" x14ac:dyDescent="0.3">
      <c r="A104" s="58">
        <v>968904</v>
      </c>
      <c r="B104" s="56" t="s">
        <v>200</v>
      </c>
      <c r="C104" s="203"/>
      <c r="D104" s="203"/>
      <c r="E104" s="203">
        <v>4176</v>
      </c>
      <c r="F104" s="203">
        <v>0</v>
      </c>
      <c r="G104" s="56"/>
      <c r="H104" s="203">
        <v>1382.7814569536424</v>
      </c>
      <c r="I104" s="203">
        <v>1382.7814569536424</v>
      </c>
      <c r="J104" s="56" t="s">
        <v>42</v>
      </c>
      <c r="K104" s="56">
        <v>3</v>
      </c>
      <c r="L104" s="56"/>
      <c r="M104" s="56"/>
      <c r="N104" s="200">
        <v>43525</v>
      </c>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c r="BL104" s="56"/>
      <c r="BM104" s="56"/>
      <c r="BN104" s="56"/>
      <c r="BO104" s="56"/>
      <c r="BP104" s="56"/>
      <c r="BQ104" s="56"/>
      <c r="BR104" s="56"/>
    </row>
    <row r="105" spans="1:70" s="58" customFormat="1" ht="13" x14ac:dyDescent="0.3">
      <c r="A105" s="56">
        <v>968900</v>
      </c>
      <c r="B105" s="56" t="s">
        <v>209</v>
      </c>
      <c r="C105" s="203">
        <v>470</v>
      </c>
      <c r="D105" s="203">
        <v>1400</v>
      </c>
      <c r="E105" s="203">
        <v>31890</v>
      </c>
      <c r="F105" s="203">
        <v>930</v>
      </c>
      <c r="G105" s="56"/>
      <c r="H105" s="203">
        <v>27454.96688741722</v>
      </c>
      <c r="I105" s="203">
        <v>27454.96688741722</v>
      </c>
      <c r="J105" s="56" t="s">
        <v>42</v>
      </c>
      <c r="K105" s="56">
        <v>3</v>
      </c>
      <c r="L105" s="56"/>
      <c r="M105" s="56"/>
      <c r="N105" s="200">
        <v>43556</v>
      </c>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c r="BL105" s="56"/>
      <c r="BM105" s="56"/>
      <c r="BN105" s="56"/>
      <c r="BO105" s="56"/>
      <c r="BP105" s="56"/>
      <c r="BQ105" s="56"/>
      <c r="BR105" s="56"/>
    </row>
    <row r="106" spans="1:70" s="58" customFormat="1" ht="13" x14ac:dyDescent="0.3">
      <c r="A106" s="56">
        <v>968900</v>
      </c>
      <c r="B106" s="56" t="s">
        <v>210</v>
      </c>
      <c r="C106" s="203">
        <v>0</v>
      </c>
      <c r="D106" s="203">
        <v>245</v>
      </c>
      <c r="E106" s="203">
        <v>8408</v>
      </c>
      <c r="F106" s="203">
        <v>245</v>
      </c>
      <c r="G106" s="56"/>
      <c r="H106" s="203">
        <v>7238.675496688742</v>
      </c>
      <c r="I106" s="203">
        <v>7238.675496688742</v>
      </c>
      <c r="J106" s="56" t="s">
        <v>42</v>
      </c>
      <c r="K106" s="56">
        <v>3</v>
      </c>
      <c r="L106" s="56"/>
      <c r="M106" s="56"/>
      <c r="N106" s="200">
        <v>43556</v>
      </c>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c r="BL106" s="56"/>
      <c r="BM106" s="56"/>
      <c r="BN106" s="56"/>
      <c r="BO106" s="56"/>
      <c r="BP106" s="56"/>
      <c r="BQ106" s="56"/>
      <c r="BR106" s="56"/>
    </row>
    <row r="107" spans="1:70" s="58" customFormat="1" ht="13" x14ac:dyDescent="0.3">
      <c r="A107" s="56">
        <v>968900</v>
      </c>
      <c r="B107" s="56" t="s">
        <v>220</v>
      </c>
      <c r="C107" s="203">
        <v>290</v>
      </c>
      <c r="D107" s="203">
        <v>300</v>
      </c>
      <c r="E107" s="203">
        <v>835</v>
      </c>
      <c r="F107" s="203">
        <v>10</v>
      </c>
      <c r="G107" s="56"/>
      <c r="H107" s="203">
        <v>718.87417218543044</v>
      </c>
      <c r="I107" s="203">
        <v>718.87417218543044</v>
      </c>
      <c r="J107" s="56" t="s">
        <v>42</v>
      </c>
      <c r="K107" s="56">
        <v>3</v>
      </c>
      <c r="L107" s="56"/>
      <c r="M107" s="56"/>
      <c r="N107" s="200">
        <v>43556</v>
      </c>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c r="BL107" s="56"/>
      <c r="BM107" s="56"/>
      <c r="BN107" s="56"/>
      <c r="BO107" s="56"/>
      <c r="BP107" s="56"/>
      <c r="BQ107" s="56"/>
      <c r="BR107" s="56"/>
    </row>
    <row r="108" spans="1:70" s="58" customFormat="1" ht="13" x14ac:dyDescent="0.3">
      <c r="A108" s="56">
        <v>968900</v>
      </c>
      <c r="B108" s="56" t="s">
        <v>221</v>
      </c>
      <c r="C108" s="203">
        <v>0</v>
      </c>
      <c r="D108" s="203">
        <v>5</v>
      </c>
      <c r="E108" s="203">
        <v>65</v>
      </c>
      <c r="F108" s="203">
        <v>5</v>
      </c>
      <c r="G108" s="56"/>
      <c r="H108" s="203">
        <v>55.960264900662253</v>
      </c>
      <c r="I108" s="203">
        <v>55.960264900662253</v>
      </c>
      <c r="J108" s="56" t="s">
        <v>42</v>
      </c>
      <c r="K108" s="56">
        <v>3</v>
      </c>
      <c r="L108" s="56"/>
      <c r="M108" s="56"/>
      <c r="N108" s="200">
        <v>43556</v>
      </c>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c r="BL108" s="56"/>
      <c r="BM108" s="56"/>
      <c r="BN108" s="56"/>
      <c r="BO108" s="56"/>
      <c r="BP108" s="56"/>
      <c r="BQ108" s="56"/>
      <c r="BR108" s="56"/>
    </row>
    <row r="109" spans="1:70" s="58" customFormat="1" ht="13" x14ac:dyDescent="0.3">
      <c r="A109" s="56">
        <v>968901</v>
      </c>
      <c r="B109" s="56" t="s">
        <v>204</v>
      </c>
      <c r="C109" s="203"/>
      <c r="D109" s="203"/>
      <c r="E109" s="203">
        <v>2083</v>
      </c>
      <c r="F109" s="203">
        <v>0</v>
      </c>
      <c r="G109" s="56"/>
      <c r="H109" s="203">
        <v>1517.4172185430464</v>
      </c>
      <c r="I109" s="203">
        <v>1517.4172185430464</v>
      </c>
      <c r="J109" s="56" t="s">
        <v>42</v>
      </c>
      <c r="K109" s="56">
        <v>3</v>
      </c>
      <c r="L109" s="56"/>
      <c r="M109" s="56"/>
      <c r="N109" s="200">
        <v>43556</v>
      </c>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c r="BL109" s="56"/>
      <c r="BM109" s="56"/>
      <c r="BN109" s="56"/>
      <c r="BO109" s="56"/>
      <c r="BP109" s="56"/>
      <c r="BQ109" s="56"/>
      <c r="BR109" s="56"/>
    </row>
    <row r="110" spans="1:70" s="58" customFormat="1" ht="13" x14ac:dyDescent="0.3">
      <c r="A110" s="56">
        <v>968901</v>
      </c>
      <c r="B110" s="56" t="s">
        <v>213</v>
      </c>
      <c r="C110" s="203"/>
      <c r="D110" s="203"/>
      <c r="E110" s="203">
        <v>28951</v>
      </c>
      <c r="F110" s="203">
        <v>0</v>
      </c>
      <c r="G110" s="56"/>
      <c r="H110" s="203">
        <v>2875.9271523178809</v>
      </c>
      <c r="I110" s="203">
        <v>2875.9271523178809</v>
      </c>
      <c r="J110" s="56" t="s">
        <v>42</v>
      </c>
      <c r="K110" s="56">
        <v>3</v>
      </c>
      <c r="L110" s="56"/>
      <c r="M110" s="56"/>
      <c r="N110" s="200">
        <v>43556</v>
      </c>
      <c r="O110" s="35"/>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c r="BL110" s="56"/>
      <c r="BM110" s="56"/>
      <c r="BN110" s="56"/>
      <c r="BO110" s="56"/>
      <c r="BP110" s="56"/>
      <c r="BQ110" s="56"/>
      <c r="BR110" s="56"/>
    </row>
    <row r="111" spans="1:70" s="58" customFormat="1" ht="13" x14ac:dyDescent="0.3">
      <c r="A111" s="56">
        <v>968901</v>
      </c>
      <c r="B111" s="56" t="s">
        <v>222</v>
      </c>
      <c r="C111" s="203"/>
      <c r="D111" s="203"/>
      <c r="E111" s="203">
        <v>1862</v>
      </c>
      <c r="F111" s="203">
        <v>0</v>
      </c>
      <c r="G111" s="56"/>
      <c r="H111" s="203">
        <v>1356.4238410596026</v>
      </c>
      <c r="I111" s="203">
        <v>1356.4238410596026</v>
      </c>
      <c r="J111" s="56" t="s">
        <v>42</v>
      </c>
      <c r="K111" s="56">
        <v>3</v>
      </c>
      <c r="L111" s="56"/>
      <c r="M111" s="56"/>
      <c r="N111" s="200">
        <v>43556</v>
      </c>
      <c r="O111" s="35"/>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c r="BL111" s="56"/>
      <c r="BM111" s="56"/>
      <c r="BN111" s="56"/>
      <c r="BO111" s="56"/>
      <c r="BP111" s="56"/>
      <c r="BQ111" s="56"/>
      <c r="BR111" s="56"/>
    </row>
    <row r="112" spans="1:70" s="58" customFormat="1" ht="13" x14ac:dyDescent="0.3">
      <c r="A112" s="56">
        <v>968901</v>
      </c>
      <c r="B112" s="56" t="s">
        <v>211</v>
      </c>
      <c r="C112" s="203"/>
      <c r="D112" s="203"/>
      <c r="E112" s="203">
        <v>5148</v>
      </c>
      <c r="F112" s="203">
        <v>0</v>
      </c>
      <c r="G112" s="56"/>
      <c r="H112" s="203">
        <v>4432.0529801324501</v>
      </c>
      <c r="I112" s="203">
        <v>4432.0529801324501</v>
      </c>
      <c r="J112" s="56" t="s">
        <v>42</v>
      </c>
      <c r="K112" s="56">
        <v>3</v>
      </c>
      <c r="L112" s="56"/>
      <c r="M112" s="56"/>
      <c r="N112" s="200">
        <v>43556</v>
      </c>
      <c r="O112" s="35"/>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c r="BL112" s="56"/>
      <c r="BM112" s="56"/>
      <c r="BN112" s="56"/>
      <c r="BO112" s="56"/>
      <c r="BP112" s="56"/>
      <c r="BQ112" s="56"/>
      <c r="BR112" s="56"/>
    </row>
    <row r="113" spans="1:70" s="58" customFormat="1" ht="13" x14ac:dyDescent="0.3">
      <c r="A113" s="56">
        <v>968901</v>
      </c>
      <c r="B113" s="56" t="s">
        <v>212</v>
      </c>
      <c r="C113" s="203"/>
      <c r="D113" s="203"/>
      <c r="E113" s="203">
        <v>6513</v>
      </c>
      <c r="F113" s="203">
        <v>0</v>
      </c>
      <c r="G113" s="56"/>
      <c r="H113" s="203">
        <v>5607.2185430463578</v>
      </c>
      <c r="I113" s="203">
        <v>5607.2185430463578</v>
      </c>
      <c r="J113" s="56" t="s">
        <v>42</v>
      </c>
      <c r="K113" s="56">
        <v>3</v>
      </c>
      <c r="L113" s="56"/>
      <c r="M113" s="56"/>
      <c r="N113" s="200">
        <v>43556</v>
      </c>
      <c r="O113" s="35"/>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c r="BL113" s="56"/>
      <c r="BM113" s="56"/>
      <c r="BN113" s="56"/>
      <c r="BO113" s="56"/>
      <c r="BP113" s="56"/>
      <c r="BQ113" s="56"/>
      <c r="BR113" s="56"/>
    </row>
    <row r="114" spans="1:70" s="58" customFormat="1" ht="13" x14ac:dyDescent="0.3">
      <c r="A114" s="56">
        <v>968901</v>
      </c>
      <c r="B114" s="56" t="s">
        <v>224</v>
      </c>
      <c r="C114" s="203"/>
      <c r="D114" s="203"/>
      <c r="E114" s="203">
        <v>4200</v>
      </c>
      <c r="F114" s="203">
        <v>0</v>
      </c>
      <c r="G114" s="56"/>
      <c r="H114" s="203">
        <v>2364.2384105960264</v>
      </c>
      <c r="I114" s="203">
        <v>2364.2384105960264</v>
      </c>
      <c r="J114" s="56" t="s">
        <v>42</v>
      </c>
      <c r="K114" s="56">
        <v>3</v>
      </c>
      <c r="L114" s="56"/>
      <c r="M114" s="56"/>
      <c r="N114" s="200">
        <v>43556</v>
      </c>
      <c r="O114" s="35"/>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c r="BL114" s="56"/>
      <c r="BM114" s="56"/>
      <c r="BN114" s="56"/>
      <c r="BO114" s="56"/>
      <c r="BP114" s="56"/>
      <c r="BQ114" s="56"/>
      <c r="BR114" s="56"/>
    </row>
    <row r="115" spans="1:70" s="58" customFormat="1" ht="13" x14ac:dyDescent="0.3">
      <c r="A115" s="56">
        <v>968901</v>
      </c>
      <c r="B115" s="56" t="s">
        <v>223</v>
      </c>
      <c r="C115" s="203"/>
      <c r="D115" s="203"/>
      <c r="E115" s="203">
        <v>21500</v>
      </c>
      <c r="F115" s="203">
        <v>0</v>
      </c>
      <c r="G115" s="56"/>
      <c r="H115" s="203">
        <v>7119.2052980132448</v>
      </c>
      <c r="I115" s="203">
        <v>7119.2052980132448</v>
      </c>
      <c r="J115" s="56" t="s">
        <v>42</v>
      </c>
      <c r="K115" s="56">
        <v>3</v>
      </c>
      <c r="L115" s="56"/>
      <c r="M115" s="56"/>
      <c r="N115" s="200">
        <v>43556</v>
      </c>
      <c r="O115" s="35"/>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c r="BL115" s="56"/>
      <c r="BM115" s="56"/>
      <c r="BN115" s="56"/>
      <c r="BO115" s="56"/>
      <c r="BP115" s="56"/>
      <c r="BQ115" s="56"/>
      <c r="BR115" s="56"/>
    </row>
    <row r="116" spans="1:70" s="58" customFormat="1" ht="13" x14ac:dyDescent="0.3">
      <c r="A116" s="56">
        <v>968901</v>
      </c>
      <c r="B116" s="56" t="s">
        <v>226</v>
      </c>
      <c r="C116" s="203"/>
      <c r="D116" s="203"/>
      <c r="E116" s="203">
        <v>6684</v>
      </c>
      <c r="F116" s="203">
        <v>0</v>
      </c>
      <c r="G116" s="56"/>
      <c r="H116" s="203">
        <v>5754.4370860927156</v>
      </c>
      <c r="I116" s="203">
        <v>5754.4370860927156</v>
      </c>
      <c r="J116" s="56" t="s">
        <v>42</v>
      </c>
      <c r="K116" s="56">
        <v>3</v>
      </c>
      <c r="L116" s="56"/>
      <c r="M116" s="56"/>
      <c r="N116" s="200">
        <v>43556</v>
      </c>
      <c r="O116" s="35"/>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row>
    <row r="117" spans="1:70" s="58" customFormat="1" ht="13" x14ac:dyDescent="0.3">
      <c r="A117" s="56">
        <v>968901</v>
      </c>
      <c r="B117" s="56" t="s">
        <v>225</v>
      </c>
      <c r="C117" s="203"/>
      <c r="D117" s="203"/>
      <c r="E117" s="203">
        <v>6020</v>
      </c>
      <c r="F117" s="203">
        <v>0</v>
      </c>
      <c r="G117" s="56"/>
      <c r="H117" s="203">
        <v>3588.0794701986756</v>
      </c>
      <c r="I117" s="203">
        <v>3588.0794701986756</v>
      </c>
      <c r="J117" s="56" t="s">
        <v>42</v>
      </c>
      <c r="K117" s="56">
        <v>3</v>
      </c>
      <c r="L117" s="56"/>
      <c r="M117" s="56"/>
      <c r="N117" s="200">
        <v>43556</v>
      </c>
      <c r="O117" s="35"/>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c r="BL117" s="56"/>
      <c r="BM117" s="56"/>
      <c r="BN117" s="56"/>
      <c r="BO117" s="56"/>
      <c r="BP117" s="56"/>
      <c r="BQ117" s="56"/>
      <c r="BR117" s="56"/>
    </row>
    <row r="118" spans="1:70" s="58" customFormat="1" ht="13" x14ac:dyDescent="0.3">
      <c r="A118" s="56">
        <v>968901</v>
      </c>
      <c r="B118" s="56" t="s">
        <v>227</v>
      </c>
      <c r="C118" s="203"/>
      <c r="D118" s="203"/>
      <c r="E118" s="203">
        <v>1495</v>
      </c>
      <c r="F118" s="203">
        <v>0</v>
      </c>
      <c r="G118" s="56"/>
      <c r="H118" s="203">
        <v>1683.1125827814569</v>
      </c>
      <c r="I118" s="203">
        <v>1683.1125827814569</v>
      </c>
      <c r="J118" s="56" t="s">
        <v>42</v>
      </c>
      <c r="K118" s="56">
        <v>3</v>
      </c>
      <c r="L118" s="56"/>
      <c r="M118" s="56"/>
      <c r="N118" s="200">
        <v>43556</v>
      </c>
      <c r="O118" s="35"/>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c r="BL118" s="56"/>
      <c r="BM118" s="56"/>
      <c r="BN118" s="56"/>
      <c r="BO118" s="56"/>
      <c r="BP118" s="56"/>
      <c r="BQ118" s="56"/>
      <c r="BR118" s="56"/>
    </row>
    <row r="119" spans="1:70" s="58" customFormat="1" ht="13" x14ac:dyDescent="0.3">
      <c r="A119" s="56">
        <v>968903</v>
      </c>
      <c r="B119" s="56" t="s">
        <v>202</v>
      </c>
      <c r="C119" s="203"/>
      <c r="D119" s="203"/>
      <c r="E119" s="203">
        <v>7838</v>
      </c>
      <c r="F119" s="203">
        <v>0</v>
      </c>
      <c r="G119" s="56"/>
      <c r="H119" s="203">
        <v>5190.7284768211921</v>
      </c>
      <c r="I119" s="203">
        <v>5190.7284768211921</v>
      </c>
      <c r="J119" s="56" t="s">
        <v>42</v>
      </c>
      <c r="K119" s="56">
        <v>3</v>
      </c>
      <c r="L119" s="56"/>
      <c r="M119" s="56"/>
      <c r="N119" s="200">
        <v>43556</v>
      </c>
      <c r="O119" s="35"/>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c r="BL119" s="56"/>
      <c r="BM119" s="56"/>
      <c r="BN119" s="56"/>
      <c r="BO119" s="56"/>
      <c r="BP119" s="56"/>
      <c r="BQ119" s="56"/>
      <c r="BR119" s="56"/>
    </row>
    <row r="120" spans="1:70" s="58" customFormat="1" ht="13" x14ac:dyDescent="0.3">
      <c r="A120" s="56">
        <v>968903</v>
      </c>
      <c r="B120" s="56" t="s">
        <v>202</v>
      </c>
      <c r="C120" s="203"/>
      <c r="D120" s="203"/>
      <c r="E120" s="203">
        <v>960</v>
      </c>
      <c r="F120" s="203">
        <v>0</v>
      </c>
      <c r="G120" s="56"/>
      <c r="H120" s="203">
        <v>158.94039735099338</v>
      </c>
      <c r="I120" s="203">
        <v>158.94039735099338</v>
      </c>
      <c r="J120" s="56" t="s">
        <v>42</v>
      </c>
      <c r="K120" s="56">
        <v>3</v>
      </c>
      <c r="L120" s="56"/>
      <c r="M120" s="56"/>
      <c r="N120" s="200">
        <v>43556</v>
      </c>
      <c r="O120" s="35"/>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c r="BL120" s="56"/>
      <c r="BM120" s="56"/>
      <c r="BN120" s="56"/>
      <c r="BO120" s="56"/>
      <c r="BP120" s="56"/>
      <c r="BQ120" s="56"/>
      <c r="BR120" s="56"/>
    </row>
    <row r="121" spans="1:70" s="58" customFormat="1" ht="13" x14ac:dyDescent="0.3">
      <c r="A121" s="56">
        <v>968903</v>
      </c>
      <c r="B121" s="56" t="s">
        <v>214</v>
      </c>
      <c r="C121" s="203"/>
      <c r="D121" s="203"/>
      <c r="E121" s="203">
        <v>860</v>
      </c>
      <c r="F121" s="203">
        <v>0</v>
      </c>
      <c r="G121" s="56"/>
      <c r="H121" s="203">
        <v>341.72185430463577</v>
      </c>
      <c r="I121" s="203">
        <v>341.72185430463577</v>
      </c>
      <c r="J121" s="56" t="s">
        <v>42</v>
      </c>
      <c r="K121" s="56">
        <v>3</v>
      </c>
      <c r="L121" s="56"/>
      <c r="M121" s="56"/>
      <c r="N121" s="200">
        <v>43556</v>
      </c>
      <c r="O121" s="35"/>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c r="BL121" s="56"/>
      <c r="BM121" s="56"/>
      <c r="BN121" s="56"/>
      <c r="BO121" s="56"/>
      <c r="BP121" s="56"/>
      <c r="BQ121" s="56"/>
      <c r="BR121" s="56"/>
    </row>
    <row r="122" spans="1:70" s="58" customFormat="1" ht="13" x14ac:dyDescent="0.3">
      <c r="A122" s="56">
        <v>968903</v>
      </c>
      <c r="B122" s="56" t="s">
        <v>214</v>
      </c>
      <c r="C122" s="203"/>
      <c r="D122" s="203"/>
      <c r="E122" s="203">
        <v>915</v>
      </c>
      <c r="F122" s="203">
        <v>0</v>
      </c>
      <c r="G122" s="56"/>
      <c r="H122" s="203">
        <v>727.15231788079473</v>
      </c>
      <c r="I122" s="203">
        <v>727.15231788079473</v>
      </c>
      <c r="J122" s="56" t="s">
        <v>42</v>
      </c>
      <c r="K122" s="56">
        <v>3</v>
      </c>
      <c r="L122" s="56"/>
      <c r="M122" s="56"/>
      <c r="N122" s="200">
        <v>43556</v>
      </c>
      <c r="O122" s="35"/>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c r="BL122" s="56"/>
      <c r="BM122" s="56"/>
      <c r="BN122" s="56"/>
      <c r="BO122" s="56"/>
      <c r="BP122" s="56"/>
      <c r="BQ122" s="56"/>
      <c r="BR122" s="56"/>
    </row>
    <row r="123" spans="1:70" s="58" customFormat="1" ht="13" x14ac:dyDescent="0.3">
      <c r="A123" s="56">
        <v>968903</v>
      </c>
      <c r="B123" s="56" t="s">
        <v>214</v>
      </c>
      <c r="C123" s="203"/>
      <c r="D123" s="203"/>
      <c r="E123" s="203">
        <v>3420</v>
      </c>
      <c r="F123" s="203">
        <v>0</v>
      </c>
      <c r="G123" s="56"/>
      <c r="H123" s="203">
        <v>2717.8807947019868</v>
      </c>
      <c r="I123" s="203">
        <v>2717.8807947019868</v>
      </c>
      <c r="J123" s="56" t="s">
        <v>42</v>
      </c>
      <c r="K123" s="56">
        <v>3</v>
      </c>
      <c r="L123" s="56"/>
      <c r="M123" s="56"/>
      <c r="N123" s="200">
        <v>43556</v>
      </c>
      <c r="O123" s="35"/>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c r="BL123" s="56"/>
      <c r="BM123" s="56"/>
      <c r="BN123" s="56"/>
      <c r="BO123" s="56"/>
      <c r="BP123" s="56"/>
      <c r="BQ123" s="56"/>
      <c r="BR123" s="56"/>
    </row>
    <row r="124" spans="1:70" s="58" customFormat="1" x14ac:dyDescent="0.35">
      <c r="A124" s="56">
        <v>968903</v>
      </c>
      <c r="B124" s="56" t="s">
        <v>202</v>
      </c>
      <c r="C124" s="203"/>
      <c r="D124" s="203"/>
      <c r="E124" s="203">
        <v>6878</v>
      </c>
      <c r="F124" s="203">
        <v>0</v>
      </c>
      <c r="G124" s="56"/>
      <c r="H124" s="203">
        <v>2277.4834437086092</v>
      </c>
      <c r="I124" s="203">
        <v>2277.4834437086092</v>
      </c>
      <c r="J124" s="56" t="s">
        <v>42</v>
      </c>
      <c r="K124" s="56">
        <v>3</v>
      </c>
      <c r="L124" s="56"/>
      <c r="M124" s="56"/>
      <c r="N124" s="200">
        <v>43556</v>
      </c>
      <c r="O124"/>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c r="BL124" s="56"/>
      <c r="BM124" s="56"/>
      <c r="BN124" s="56"/>
      <c r="BO124" s="56"/>
      <c r="BP124" s="56"/>
      <c r="BQ124" s="56"/>
      <c r="BR124" s="56"/>
    </row>
    <row r="125" spans="1:70" s="58" customFormat="1" x14ac:dyDescent="0.35">
      <c r="A125" s="56">
        <v>968904</v>
      </c>
      <c r="B125" s="56" t="s">
        <v>219</v>
      </c>
      <c r="C125" s="203"/>
      <c r="D125" s="203"/>
      <c r="E125" s="203">
        <v>19030</v>
      </c>
      <c r="F125" s="203">
        <v>0</v>
      </c>
      <c r="G125" s="56"/>
      <c r="H125" s="203">
        <v>20164.238410596026</v>
      </c>
      <c r="I125" s="203">
        <v>20164.238410596026</v>
      </c>
      <c r="J125" s="56" t="s">
        <v>42</v>
      </c>
      <c r="K125" s="56">
        <v>3</v>
      </c>
      <c r="L125" s="56"/>
      <c r="M125" s="56"/>
      <c r="N125" s="200">
        <v>43556</v>
      </c>
      <c r="O125"/>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c r="BL125" s="56"/>
      <c r="BM125" s="56"/>
      <c r="BN125" s="56"/>
      <c r="BO125" s="56"/>
      <c r="BP125" s="56"/>
      <c r="BQ125" s="56"/>
      <c r="BR125" s="56"/>
    </row>
    <row r="126" spans="1:70" s="58" customFormat="1" x14ac:dyDescent="0.35">
      <c r="A126" s="56">
        <v>968904</v>
      </c>
      <c r="B126" s="56" t="s">
        <v>215</v>
      </c>
      <c r="C126" s="203"/>
      <c r="D126" s="203"/>
      <c r="E126" s="203">
        <v>3466</v>
      </c>
      <c r="F126" s="203">
        <v>0</v>
      </c>
      <c r="G126" s="56"/>
      <c r="H126" s="203">
        <v>2295.364238410596</v>
      </c>
      <c r="I126" s="203">
        <v>2295.364238410596</v>
      </c>
      <c r="J126" s="56" t="s">
        <v>42</v>
      </c>
      <c r="K126" s="56">
        <v>3</v>
      </c>
      <c r="L126" s="56"/>
      <c r="M126" s="56"/>
      <c r="N126" s="200">
        <v>43556</v>
      </c>
      <c r="O12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c r="BL126" s="56"/>
      <c r="BM126" s="56"/>
      <c r="BN126" s="56"/>
      <c r="BO126" s="56"/>
      <c r="BP126" s="56"/>
      <c r="BQ126" s="56"/>
      <c r="BR126" s="56"/>
    </row>
    <row r="127" spans="1:70" s="58" customFormat="1" x14ac:dyDescent="0.35">
      <c r="A127" s="56">
        <v>968904</v>
      </c>
      <c r="B127" s="56" t="s">
        <v>216</v>
      </c>
      <c r="C127" s="203"/>
      <c r="D127" s="203"/>
      <c r="E127" s="203">
        <v>3500</v>
      </c>
      <c r="F127" s="203">
        <v>0</v>
      </c>
      <c r="G127" s="56"/>
      <c r="H127" s="203">
        <v>1158.9403973509934</v>
      </c>
      <c r="I127" s="203">
        <v>1158.9403973509934</v>
      </c>
      <c r="J127" s="56" t="s">
        <v>42</v>
      </c>
      <c r="K127" s="56">
        <v>3</v>
      </c>
      <c r="L127" s="56"/>
      <c r="M127" s="56"/>
      <c r="N127" s="200">
        <v>43556</v>
      </c>
      <c r="O127"/>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c r="BL127" s="56"/>
      <c r="BM127" s="56"/>
      <c r="BN127" s="56"/>
      <c r="BO127" s="56"/>
      <c r="BP127" s="56"/>
      <c r="BQ127" s="56"/>
      <c r="BR127" s="56"/>
    </row>
    <row r="128" spans="1:70" s="58" customFormat="1" x14ac:dyDescent="0.35">
      <c r="A128" s="56">
        <v>968904</v>
      </c>
      <c r="B128" s="56" t="s">
        <v>217</v>
      </c>
      <c r="C128" s="203"/>
      <c r="D128" s="203"/>
      <c r="E128" s="203">
        <v>3325</v>
      </c>
      <c r="F128" s="203">
        <v>0</v>
      </c>
      <c r="G128" s="56"/>
      <c r="H128" s="203">
        <v>1100.9933774834437</v>
      </c>
      <c r="I128" s="203">
        <v>1100.9933774834437</v>
      </c>
      <c r="J128" s="56" t="s">
        <v>42</v>
      </c>
      <c r="K128" s="56">
        <v>3</v>
      </c>
      <c r="L128" s="56"/>
      <c r="M128" s="56"/>
      <c r="N128" s="200">
        <v>43556</v>
      </c>
      <c r="O128"/>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c r="BL128" s="56"/>
      <c r="BM128" s="56"/>
      <c r="BN128" s="56"/>
      <c r="BO128" s="56"/>
      <c r="BP128" s="56"/>
      <c r="BQ128" s="56"/>
      <c r="BR128" s="56"/>
    </row>
    <row r="129" spans="1:70" s="58" customFormat="1" x14ac:dyDescent="0.35">
      <c r="A129" s="56">
        <v>968904</v>
      </c>
      <c r="B129" s="56" t="s">
        <v>218</v>
      </c>
      <c r="C129" s="203"/>
      <c r="D129" s="203"/>
      <c r="E129" s="203">
        <v>3500</v>
      </c>
      <c r="F129" s="203">
        <v>0</v>
      </c>
      <c r="G129" s="56"/>
      <c r="H129" s="203">
        <v>1158.9403973509934</v>
      </c>
      <c r="I129" s="203">
        <v>1158.9403973509934</v>
      </c>
      <c r="J129" s="56" t="s">
        <v>42</v>
      </c>
      <c r="K129" s="56">
        <v>3</v>
      </c>
      <c r="L129" s="56"/>
      <c r="M129" s="56"/>
      <c r="N129" s="200">
        <v>43556</v>
      </c>
      <c r="O129"/>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c r="BL129" s="56"/>
      <c r="BM129" s="56"/>
      <c r="BN129" s="56"/>
      <c r="BO129" s="56"/>
      <c r="BP129" s="56"/>
      <c r="BQ129" s="56"/>
      <c r="BR129" s="56"/>
    </row>
    <row r="130" spans="1:70" s="58" customFormat="1" x14ac:dyDescent="0.35">
      <c r="A130" s="56">
        <v>968904</v>
      </c>
      <c r="B130" s="56" t="s">
        <v>219</v>
      </c>
      <c r="C130" s="203"/>
      <c r="D130" s="203"/>
      <c r="E130" s="203">
        <v>3300</v>
      </c>
      <c r="F130" s="203">
        <v>0</v>
      </c>
      <c r="G130" s="56"/>
      <c r="H130" s="203">
        <v>2841.0596026490066</v>
      </c>
      <c r="I130" s="203">
        <v>2841.0596026490066</v>
      </c>
      <c r="J130" s="56" t="s">
        <v>42</v>
      </c>
      <c r="K130" s="56">
        <v>3</v>
      </c>
      <c r="L130" s="56"/>
      <c r="M130" s="56"/>
      <c r="N130" s="200">
        <v>43556</v>
      </c>
      <c r="O130"/>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c r="BL130" s="56"/>
      <c r="BM130" s="56"/>
      <c r="BN130" s="56"/>
      <c r="BO130" s="56"/>
      <c r="BP130" s="56"/>
      <c r="BQ130" s="56"/>
      <c r="BR130" s="56"/>
    </row>
    <row r="131" spans="1:70" x14ac:dyDescent="0.35">
      <c r="A131" s="56">
        <v>968901</v>
      </c>
      <c r="B131" s="56" t="s">
        <v>211</v>
      </c>
      <c r="C131" s="203"/>
      <c r="D131" s="203"/>
      <c r="E131" s="203">
        <v>2842</v>
      </c>
      <c r="F131" s="203">
        <v>0</v>
      </c>
      <c r="G131" s="56"/>
      <c r="H131" s="203">
        <v>2447</v>
      </c>
      <c r="I131" s="203">
        <v>2447</v>
      </c>
      <c r="J131" s="56" t="s">
        <v>42</v>
      </c>
      <c r="K131" s="56">
        <v>3</v>
      </c>
      <c r="L131" s="56"/>
      <c r="M131" s="56"/>
      <c r="N131" s="200">
        <v>43556</v>
      </c>
    </row>
    <row r="132" spans="1:70" x14ac:dyDescent="0.35">
      <c r="A132" s="56">
        <v>968900</v>
      </c>
      <c r="B132" s="56" t="s">
        <v>221</v>
      </c>
      <c r="C132" s="203"/>
      <c r="D132" s="203"/>
      <c r="E132" s="203">
        <v>36120</v>
      </c>
      <c r="F132" s="203">
        <v>0</v>
      </c>
      <c r="G132" s="56"/>
      <c r="H132" s="203">
        <v>31096.688741721857</v>
      </c>
      <c r="I132" s="203">
        <v>31096.688741721857</v>
      </c>
      <c r="J132" s="56" t="s">
        <v>42</v>
      </c>
      <c r="K132" s="56">
        <v>3</v>
      </c>
      <c r="L132" s="56"/>
      <c r="M132" s="56"/>
      <c r="N132" s="200">
        <v>43586</v>
      </c>
    </row>
    <row r="133" spans="1:70" x14ac:dyDescent="0.35">
      <c r="A133" s="56">
        <v>968900</v>
      </c>
      <c r="B133" s="56" t="s">
        <v>249</v>
      </c>
      <c r="C133" s="203"/>
      <c r="D133" s="203"/>
      <c r="E133" s="203">
        <v>8102</v>
      </c>
      <c r="F133" s="203">
        <v>0</v>
      </c>
      <c r="G133" s="56"/>
      <c r="H133" s="203">
        <v>6975.2317880794708</v>
      </c>
      <c r="I133" s="203">
        <v>6975.2317880794708</v>
      </c>
      <c r="J133" s="56" t="s">
        <v>42</v>
      </c>
      <c r="K133" s="56">
        <v>3</v>
      </c>
      <c r="L133" s="56"/>
      <c r="M133" s="56"/>
      <c r="N133" s="200">
        <v>43586</v>
      </c>
    </row>
    <row r="134" spans="1:70" x14ac:dyDescent="0.35">
      <c r="A134" s="56">
        <v>968900</v>
      </c>
      <c r="B134" s="56" t="s">
        <v>228</v>
      </c>
      <c r="C134" s="203"/>
      <c r="D134" s="203"/>
      <c r="E134" s="203">
        <v>10805</v>
      </c>
      <c r="F134" s="203">
        <v>0</v>
      </c>
      <c r="G134" s="56"/>
      <c r="H134" s="203">
        <v>9302.3178807947024</v>
      </c>
      <c r="I134" s="203">
        <v>9302.3178807947024</v>
      </c>
      <c r="J134" s="56" t="s">
        <v>42</v>
      </c>
      <c r="K134" s="56">
        <v>3</v>
      </c>
      <c r="L134" s="56"/>
      <c r="M134" s="56"/>
      <c r="N134" s="200">
        <v>43586</v>
      </c>
    </row>
    <row r="135" spans="1:70" x14ac:dyDescent="0.35">
      <c r="A135" s="56">
        <v>968901</v>
      </c>
      <c r="B135" s="56" t="s">
        <v>250</v>
      </c>
      <c r="C135" s="203"/>
      <c r="D135" s="203"/>
      <c r="E135" s="203">
        <v>21340</v>
      </c>
      <c r="F135" s="203">
        <v>0</v>
      </c>
      <c r="G135" s="56"/>
      <c r="H135" s="203">
        <v>18372.185430463578</v>
      </c>
      <c r="I135" s="203">
        <v>18372.185430463578</v>
      </c>
      <c r="J135" s="56" t="s">
        <v>42</v>
      </c>
      <c r="K135" s="56">
        <v>3</v>
      </c>
      <c r="L135" s="56"/>
      <c r="M135" s="56"/>
      <c r="N135" s="200">
        <v>43586</v>
      </c>
    </row>
    <row r="136" spans="1:70" x14ac:dyDescent="0.35">
      <c r="A136" s="56">
        <v>968901</v>
      </c>
      <c r="B136" s="56" t="s">
        <v>251</v>
      </c>
      <c r="C136" s="203"/>
      <c r="D136" s="203"/>
      <c r="E136" s="203">
        <v>3103</v>
      </c>
      <c r="F136" s="203">
        <v>0</v>
      </c>
      <c r="G136" s="56"/>
      <c r="H136" s="203">
        <v>2671.4569536423842</v>
      </c>
      <c r="I136" s="203">
        <v>2671.4569536423842</v>
      </c>
      <c r="J136" s="56" t="s">
        <v>42</v>
      </c>
      <c r="K136" s="56">
        <v>3</v>
      </c>
      <c r="L136" s="56"/>
      <c r="M136" s="56"/>
      <c r="N136" s="200">
        <v>43586</v>
      </c>
    </row>
    <row r="137" spans="1:70" x14ac:dyDescent="0.35">
      <c r="A137" s="56">
        <v>968901</v>
      </c>
      <c r="B137" s="56" t="s">
        <v>252</v>
      </c>
      <c r="C137" s="203"/>
      <c r="D137" s="203"/>
      <c r="E137" s="203">
        <v>7476</v>
      </c>
      <c r="F137" s="203">
        <v>0</v>
      </c>
      <c r="G137" s="56"/>
      <c r="H137" s="203">
        <v>6436.2913907284774</v>
      </c>
      <c r="I137" s="203">
        <v>6436.2913907284774</v>
      </c>
      <c r="J137" s="56" t="s">
        <v>42</v>
      </c>
      <c r="K137" s="56">
        <v>3</v>
      </c>
      <c r="L137" s="56"/>
      <c r="M137" s="56"/>
      <c r="N137" s="200">
        <v>43586</v>
      </c>
    </row>
    <row r="138" spans="1:70" x14ac:dyDescent="0.35">
      <c r="A138" s="56">
        <v>968901</v>
      </c>
      <c r="B138" s="56" t="s">
        <v>193</v>
      </c>
      <c r="C138" s="203"/>
      <c r="D138" s="203"/>
      <c r="E138" s="203">
        <v>21530</v>
      </c>
      <c r="F138" s="203">
        <v>0</v>
      </c>
      <c r="G138" s="56"/>
      <c r="H138" s="203">
        <v>18535.761589403974</v>
      </c>
      <c r="I138" s="203">
        <v>18535.761589403974</v>
      </c>
      <c r="J138" s="56" t="s">
        <v>42</v>
      </c>
      <c r="K138" s="56">
        <v>3</v>
      </c>
      <c r="L138" s="56"/>
      <c r="M138" s="56"/>
      <c r="N138" s="200">
        <v>43586</v>
      </c>
    </row>
    <row r="139" spans="1:70" x14ac:dyDescent="0.35">
      <c r="A139" s="56">
        <v>968901</v>
      </c>
      <c r="B139" s="56" t="s">
        <v>253</v>
      </c>
      <c r="C139" s="203"/>
      <c r="D139" s="203"/>
      <c r="E139" s="203">
        <v>2000</v>
      </c>
      <c r="F139" s="203">
        <v>0</v>
      </c>
      <c r="G139" s="56"/>
      <c r="H139" s="203">
        <v>860.92715231788077</v>
      </c>
      <c r="I139" s="203">
        <v>860.92715231788077</v>
      </c>
      <c r="J139" s="56" t="s">
        <v>42</v>
      </c>
      <c r="K139" s="56">
        <v>3</v>
      </c>
      <c r="L139" s="56"/>
      <c r="M139" s="56"/>
      <c r="N139" s="200">
        <v>43586</v>
      </c>
    </row>
    <row r="140" spans="1:70" x14ac:dyDescent="0.35">
      <c r="A140" s="56">
        <v>968903</v>
      </c>
      <c r="B140" s="56" t="s">
        <v>254</v>
      </c>
      <c r="C140" s="203"/>
      <c r="D140" s="203"/>
      <c r="E140" s="203">
        <v>7730</v>
      </c>
      <c r="F140" s="203">
        <v>0</v>
      </c>
      <c r="G140" s="56"/>
      <c r="H140" s="203">
        <v>6143.0463576158945</v>
      </c>
      <c r="I140" s="203">
        <v>6143.0463576158945</v>
      </c>
      <c r="J140" s="56" t="s">
        <v>42</v>
      </c>
      <c r="K140" s="56">
        <v>3</v>
      </c>
      <c r="L140" s="56"/>
      <c r="M140" s="56"/>
      <c r="N140" s="200">
        <v>43586</v>
      </c>
    </row>
    <row r="141" spans="1:70" x14ac:dyDescent="0.35">
      <c r="A141" s="56">
        <v>968903</v>
      </c>
      <c r="B141" s="56" t="s">
        <v>229</v>
      </c>
      <c r="C141" s="203"/>
      <c r="D141" s="203"/>
      <c r="E141" s="203">
        <v>1730</v>
      </c>
      <c r="F141" s="203">
        <v>0</v>
      </c>
      <c r="G141" s="56"/>
      <c r="H141" s="203">
        <v>1489.4039735099338</v>
      </c>
      <c r="I141" s="203">
        <v>1489.4039735099338</v>
      </c>
      <c r="J141" s="56" t="s">
        <v>42</v>
      </c>
      <c r="K141" s="56">
        <v>3</v>
      </c>
      <c r="L141" s="56"/>
      <c r="M141" s="56"/>
      <c r="N141" s="200">
        <v>43586</v>
      </c>
    </row>
    <row r="142" spans="1:70" x14ac:dyDescent="0.35">
      <c r="A142" s="56">
        <v>968903</v>
      </c>
      <c r="B142" s="56" t="s">
        <v>255</v>
      </c>
      <c r="C142" s="203"/>
      <c r="D142" s="203"/>
      <c r="E142" s="203">
        <v>2880</v>
      </c>
      <c r="F142" s="203">
        <v>0</v>
      </c>
      <c r="G142" s="56"/>
      <c r="H142" s="203">
        <v>2479.4701986754967</v>
      </c>
      <c r="I142" s="203">
        <v>2479.4701986754967</v>
      </c>
      <c r="J142" s="56" t="s">
        <v>42</v>
      </c>
      <c r="K142" s="56">
        <v>3</v>
      </c>
      <c r="L142" s="56"/>
      <c r="M142" s="56"/>
      <c r="N142" s="200">
        <v>43586</v>
      </c>
    </row>
    <row r="143" spans="1:70" x14ac:dyDescent="0.35">
      <c r="A143" s="56">
        <v>968903</v>
      </c>
      <c r="B143" s="56" t="s">
        <v>256</v>
      </c>
      <c r="C143" s="203"/>
      <c r="D143" s="203"/>
      <c r="E143" s="203">
        <v>937</v>
      </c>
      <c r="F143" s="203">
        <v>0</v>
      </c>
      <c r="G143" s="56"/>
      <c r="H143" s="203">
        <v>806.68874172185429</v>
      </c>
      <c r="I143" s="203">
        <v>806.68874172185429</v>
      </c>
      <c r="J143" s="56" t="s">
        <v>42</v>
      </c>
      <c r="K143" s="56">
        <v>3</v>
      </c>
      <c r="L143" s="56"/>
      <c r="M143" s="56"/>
      <c r="N143" s="200">
        <v>43586</v>
      </c>
    </row>
    <row r="144" spans="1:70" x14ac:dyDescent="0.35">
      <c r="A144" s="56">
        <v>968903</v>
      </c>
      <c r="B144" s="56" t="s">
        <v>257</v>
      </c>
      <c r="C144" s="203"/>
      <c r="D144" s="203"/>
      <c r="E144" s="203">
        <v>3413</v>
      </c>
      <c r="F144" s="203">
        <v>0</v>
      </c>
      <c r="G144" s="56"/>
      <c r="H144" s="203">
        <v>2938.344370860927</v>
      </c>
      <c r="I144" s="203">
        <v>2938.344370860927</v>
      </c>
      <c r="J144" s="56" t="s">
        <v>42</v>
      </c>
      <c r="K144" s="56">
        <v>3</v>
      </c>
      <c r="L144" s="56"/>
      <c r="M144" s="56"/>
      <c r="N144" s="200">
        <v>43586</v>
      </c>
    </row>
    <row r="145" spans="1:14" x14ac:dyDescent="0.35">
      <c r="A145" s="56">
        <v>968904</v>
      </c>
      <c r="B145" s="56" t="s">
        <v>257</v>
      </c>
      <c r="C145" s="203"/>
      <c r="D145" s="203"/>
      <c r="E145" s="203">
        <v>9000</v>
      </c>
      <c r="F145" s="203">
        <v>0</v>
      </c>
      <c r="G145" s="56"/>
      <c r="H145" s="203">
        <v>7748.3443708609275</v>
      </c>
      <c r="I145" s="203">
        <v>7748.3443708609275</v>
      </c>
      <c r="J145" s="56" t="s">
        <v>42</v>
      </c>
      <c r="K145" s="56">
        <v>3</v>
      </c>
      <c r="L145" s="56"/>
      <c r="M145" s="56"/>
      <c r="N145" s="200">
        <v>43586</v>
      </c>
    </row>
    <row r="146" spans="1:14" x14ac:dyDescent="0.35">
      <c r="A146" s="56">
        <v>968900</v>
      </c>
      <c r="B146" s="56" t="s">
        <v>228</v>
      </c>
      <c r="C146" s="203"/>
      <c r="D146" s="203"/>
      <c r="E146" s="203">
        <v>9080</v>
      </c>
      <c r="F146" s="203">
        <v>0</v>
      </c>
      <c r="G146" s="56"/>
      <c r="H146" s="203">
        <v>7817.2185430463578</v>
      </c>
      <c r="I146" s="203">
        <v>7817.2185430463578</v>
      </c>
      <c r="J146" s="56" t="s">
        <v>42</v>
      </c>
      <c r="K146" s="56">
        <v>3</v>
      </c>
      <c r="L146" s="56"/>
      <c r="M146" s="56"/>
      <c r="N146" s="200">
        <v>43617</v>
      </c>
    </row>
    <row r="147" spans="1:14" x14ac:dyDescent="0.35">
      <c r="A147" s="56">
        <v>968900</v>
      </c>
      <c r="B147" s="56" t="s">
        <v>231</v>
      </c>
      <c r="C147" s="203"/>
      <c r="D147" s="203"/>
      <c r="E147" s="203">
        <v>7135</v>
      </c>
      <c r="F147" s="203">
        <v>0</v>
      </c>
      <c r="G147" s="56"/>
      <c r="H147" s="203">
        <v>6142.71523178808</v>
      </c>
      <c r="I147" s="203">
        <v>6142.71523178808</v>
      </c>
      <c r="J147" s="56" t="s">
        <v>42</v>
      </c>
      <c r="K147" s="56">
        <v>3</v>
      </c>
      <c r="L147" s="56"/>
      <c r="M147" s="56"/>
      <c r="N147" s="200">
        <v>43617</v>
      </c>
    </row>
    <row r="148" spans="1:14" x14ac:dyDescent="0.35">
      <c r="A148" s="56">
        <v>968901</v>
      </c>
      <c r="B148" s="56" t="s">
        <v>232</v>
      </c>
      <c r="C148" s="203"/>
      <c r="D148" s="203"/>
      <c r="E148" s="203">
        <v>2820</v>
      </c>
      <c r="F148" s="203">
        <v>0</v>
      </c>
      <c r="G148" s="56"/>
      <c r="H148" s="203">
        <v>2427.8145695364237</v>
      </c>
      <c r="I148" s="203">
        <v>2427.8145695364237</v>
      </c>
      <c r="J148" s="56" t="s">
        <v>42</v>
      </c>
      <c r="K148" s="56">
        <v>3</v>
      </c>
      <c r="L148" s="56"/>
      <c r="M148" s="56"/>
      <c r="N148" s="200">
        <v>43617</v>
      </c>
    </row>
    <row r="149" spans="1:14" x14ac:dyDescent="0.35">
      <c r="A149" s="56">
        <v>968901</v>
      </c>
      <c r="B149" s="56" t="s">
        <v>233</v>
      </c>
      <c r="C149" s="203"/>
      <c r="D149" s="203"/>
      <c r="E149" s="203">
        <v>8873</v>
      </c>
      <c r="F149" s="203">
        <v>0</v>
      </c>
      <c r="G149" s="56"/>
      <c r="H149" s="203">
        <v>7639.0066225165565</v>
      </c>
      <c r="I149" s="203">
        <v>7639.0066225165565</v>
      </c>
      <c r="J149" s="56" t="s">
        <v>42</v>
      </c>
      <c r="K149" s="56">
        <v>3</v>
      </c>
      <c r="L149" s="56"/>
      <c r="M149" s="56"/>
      <c r="N149" s="200">
        <v>43617</v>
      </c>
    </row>
    <row r="150" spans="1:14" x14ac:dyDescent="0.35">
      <c r="A150" s="56">
        <v>968901</v>
      </c>
      <c r="B150" s="56" t="s">
        <v>234</v>
      </c>
      <c r="C150" s="203"/>
      <c r="D150" s="203"/>
      <c r="E150" s="203">
        <v>1223</v>
      </c>
      <c r="F150" s="203">
        <v>0</v>
      </c>
      <c r="G150" s="56"/>
      <c r="H150" s="203">
        <v>1052.9139072847681</v>
      </c>
      <c r="I150" s="203">
        <v>1052.9139072847681</v>
      </c>
      <c r="J150" s="56" t="s">
        <v>42</v>
      </c>
      <c r="K150" s="56">
        <v>3</v>
      </c>
      <c r="L150" s="56"/>
      <c r="M150" s="56"/>
      <c r="N150" s="200">
        <v>43617</v>
      </c>
    </row>
    <row r="151" spans="1:14" x14ac:dyDescent="0.35">
      <c r="A151" s="56">
        <v>968901</v>
      </c>
      <c r="B151" s="56" t="s">
        <v>235</v>
      </c>
      <c r="C151" s="203"/>
      <c r="D151" s="203"/>
      <c r="E151" s="203">
        <v>8000</v>
      </c>
      <c r="F151" s="203">
        <v>0</v>
      </c>
      <c r="G151" s="56"/>
      <c r="H151" s="203">
        <v>794.70198675496692</v>
      </c>
      <c r="I151" s="203">
        <v>794.70198675496692</v>
      </c>
      <c r="J151" s="56" t="s">
        <v>42</v>
      </c>
      <c r="K151" s="56">
        <v>3</v>
      </c>
      <c r="L151" s="56"/>
      <c r="M151" s="56"/>
      <c r="N151" s="200">
        <v>43617</v>
      </c>
    </row>
    <row r="152" spans="1:14" x14ac:dyDescent="0.35">
      <c r="A152" s="56">
        <v>968901</v>
      </c>
      <c r="B152" s="56" t="s">
        <v>237</v>
      </c>
      <c r="C152" s="203"/>
      <c r="D152" s="203"/>
      <c r="E152" s="203">
        <v>2815</v>
      </c>
      <c r="F152" s="203">
        <v>0</v>
      </c>
      <c r="G152" s="56"/>
      <c r="H152" s="203">
        <v>932.1192052980133</v>
      </c>
      <c r="I152" s="203">
        <v>932.1192052980133</v>
      </c>
      <c r="J152" s="56" t="s">
        <v>42</v>
      </c>
      <c r="K152" s="56">
        <v>3</v>
      </c>
      <c r="L152" s="56"/>
      <c r="M152" s="56"/>
      <c r="N152" s="200">
        <v>43617</v>
      </c>
    </row>
    <row r="153" spans="1:14" x14ac:dyDescent="0.35">
      <c r="A153" s="56">
        <v>968901</v>
      </c>
      <c r="B153" s="56" t="s">
        <v>238</v>
      </c>
      <c r="C153" s="203"/>
      <c r="D153" s="203"/>
      <c r="E153" s="203">
        <v>3500</v>
      </c>
      <c r="F153" s="203">
        <v>0</v>
      </c>
      <c r="G153" s="56"/>
      <c r="H153" s="203">
        <v>695.36423841059604</v>
      </c>
      <c r="I153" s="203">
        <v>695.36423841059604</v>
      </c>
      <c r="J153" s="56" t="s">
        <v>42</v>
      </c>
      <c r="K153" s="56">
        <v>3</v>
      </c>
      <c r="L153" s="56"/>
      <c r="M153" s="56"/>
      <c r="N153" s="200">
        <v>43617</v>
      </c>
    </row>
    <row r="154" spans="1:14" x14ac:dyDescent="0.35">
      <c r="A154" s="56">
        <v>968901</v>
      </c>
      <c r="B154" s="56" t="s">
        <v>239</v>
      </c>
      <c r="C154" s="203"/>
      <c r="D154" s="203"/>
      <c r="E154" s="203">
        <v>3223</v>
      </c>
      <c r="F154" s="203">
        <v>0</v>
      </c>
      <c r="G154" s="56"/>
      <c r="H154" s="203">
        <v>640.33112582781462</v>
      </c>
      <c r="I154" s="203">
        <v>640.33112582781462</v>
      </c>
      <c r="J154" s="56" t="s">
        <v>42</v>
      </c>
      <c r="K154" s="56">
        <v>3</v>
      </c>
      <c r="L154" s="56"/>
      <c r="M154" s="56"/>
      <c r="N154" s="200">
        <v>43617</v>
      </c>
    </row>
    <row r="155" spans="1:14" x14ac:dyDescent="0.35">
      <c r="A155" s="56">
        <v>968901</v>
      </c>
      <c r="B155" s="56" t="s">
        <v>240</v>
      </c>
      <c r="C155" s="203"/>
      <c r="D155" s="203"/>
      <c r="E155" s="203">
        <v>3500</v>
      </c>
      <c r="F155" s="203">
        <v>0</v>
      </c>
      <c r="G155" s="56"/>
      <c r="H155" s="203">
        <v>695.36423841059604</v>
      </c>
      <c r="I155" s="203">
        <v>695.36423841059604</v>
      </c>
      <c r="J155" s="56" t="s">
        <v>42</v>
      </c>
      <c r="K155" s="56">
        <v>3</v>
      </c>
      <c r="L155" s="56"/>
      <c r="M155" s="56"/>
      <c r="N155" s="200">
        <v>43617</v>
      </c>
    </row>
    <row r="156" spans="1:14" x14ac:dyDescent="0.35">
      <c r="A156" s="56">
        <v>968901</v>
      </c>
      <c r="B156" s="56" t="s">
        <v>241</v>
      </c>
      <c r="C156" s="203"/>
      <c r="D156" s="203"/>
      <c r="E156" s="203">
        <v>1300</v>
      </c>
      <c r="F156" s="203">
        <v>0</v>
      </c>
      <c r="G156" s="56"/>
      <c r="H156" s="203">
        <v>258.27814569536423</v>
      </c>
      <c r="I156" s="203">
        <v>258.27814569536423</v>
      </c>
      <c r="J156" s="56" t="s">
        <v>42</v>
      </c>
      <c r="K156" s="56">
        <v>3</v>
      </c>
      <c r="L156" s="56"/>
      <c r="M156" s="56"/>
      <c r="N156" s="200">
        <v>43617</v>
      </c>
    </row>
    <row r="157" spans="1:14" x14ac:dyDescent="0.35">
      <c r="A157" s="56">
        <v>968903</v>
      </c>
      <c r="B157" s="56" t="s">
        <v>236</v>
      </c>
      <c r="C157" s="203"/>
      <c r="D157" s="203"/>
      <c r="E157" s="203">
        <v>11377</v>
      </c>
      <c r="F157" s="203">
        <v>0</v>
      </c>
      <c r="G157" s="56"/>
      <c r="H157" s="203">
        <v>9794.7682119205292</v>
      </c>
      <c r="I157" s="203">
        <v>9794.7682119205292</v>
      </c>
      <c r="J157" s="56" t="s">
        <v>42</v>
      </c>
      <c r="K157" s="56">
        <v>3</v>
      </c>
      <c r="L157" s="56"/>
      <c r="M157" s="56"/>
      <c r="N157" s="200">
        <v>43617</v>
      </c>
    </row>
    <row r="158" spans="1:14" x14ac:dyDescent="0.35">
      <c r="A158" s="56">
        <v>968903</v>
      </c>
      <c r="B158" s="56" t="s">
        <v>244</v>
      </c>
      <c r="C158" s="203"/>
      <c r="D158" s="203"/>
      <c r="E158" s="203">
        <v>1700</v>
      </c>
      <c r="F158" s="203">
        <v>0</v>
      </c>
      <c r="G158" s="56"/>
      <c r="H158" s="203">
        <v>1463.5761589403974</v>
      </c>
      <c r="I158" s="203">
        <v>1463.5761589403974</v>
      </c>
      <c r="J158" s="56" t="s">
        <v>42</v>
      </c>
      <c r="K158" s="56">
        <v>3</v>
      </c>
      <c r="L158" s="56"/>
      <c r="M158" s="56"/>
      <c r="N158" s="200">
        <v>43617</v>
      </c>
    </row>
    <row r="159" spans="1:14" x14ac:dyDescent="0.35">
      <c r="A159" s="56">
        <v>968903</v>
      </c>
      <c r="B159" s="56" t="s">
        <v>242</v>
      </c>
      <c r="C159" s="203"/>
      <c r="D159" s="203"/>
      <c r="E159" s="203">
        <v>9292</v>
      </c>
      <c r="F159" s="203">
        <v>0</v>
      </c>
      <c r="G159" s="56"/>
      <c r="H159" s="203">
        <v>7999.7350993377486</v>
      </c>
      <c r="I159" s="203">
        <v>7999.7350993377486</v>
      </c>
      <c r="J159" s="56" t="s">
        <v>42</v>
      </c>
      <c r="K159" s="56">
        <v>3</v>
      </c>
      <c r="L159" s="56"/>
      <c r="M159" s="56"/>
      <c r="N159" s="200">
        <v>43617</v>
      </c>
    </row>
    <row r="160" spans="1:14" x14ac:dyDescent="0.35">
      <c r="A160" s="56">
        <v>968904</v>
      </c>
      <c r="B160" s="56" t="s">
        <v>229</v>
      </c>
      <c r="C160" s="203"/>
      <c r="D160" s="203"/>
      <c r="E160" s="203">
        <v>6650</v>
      </c>
      <c r="F160" s="203">
        <v>0</v>
      </c>
      <c r="G160" s="56"/>
      <c r="H160" s="203">
        <v>5725.1655629139077</v>
      </c>
      <c r="I160" s="203">
        <v>5725.1655629139077</v>
      </c>
      <c r="J160" s="56" t="s">
        <v>42</v>
      </c>
      <c r="K160" s="56">
        <v>3</v>
      </c>
      <c r="L160" s="56"/>
      <c r="M160" s="56"/>
      <c r="N160" s="200">
        <v>43617</v>
      </c>
    </row>
    <row r="161" spans="1:14" x14ac:dyDescent="0.35">
      <c r="A161" s="56">
        <v>968904</v>
      </c>
      <c r="B161" s="56" t="s">
        <v>229</v>
      </c>
      <c r="C161" s="203"/>
      <c r="D161" s="203"/>
      <c r="E161" s="203">
        <v>1470</v>
      </c>
      <c r="F161" s="203">
        <v>0</v>
      </c>
      <c r="G161" s="56"/>
      <c r="H161" s="203">
        <v>365.06622516556291</v>
      </c>
      <c r="I161" s="203">
        <v>365.06622516556291</v>
      </c>
      <c r="J161" s="56" t="s">
        <v>42</v>
      </c>
      <c r="K161" s="56">
        <v>3</v>
      </c>
      <c r="L161" s="56"/>
      <c r="M161" s="56"/>
      <c r="N161" s="200">
        <v>43617</v>
      </c>
    </row>
    <row r="162" spans="1:14" x14ac:dyDescent="0.35">
      <c r="A162" s="56">
        <v>968900</v>
      </c>
      <c r="B162" s="56" t="s">
        <v>231</v>
      </c>
      <c r="C162" s="203"/>
      <c r="D162" s="203"/>
      <c r="E162" s="203">
        <v>6866</v>
      </c>
      <c r="F162" s="203">
        <v>0</v>
      </c>
      <c r="G162" s="56"/>
      <c r="H162" s="203">
        <v>5911.1258278145697</v>
      </c>
      <c r="I162" s="203">
        <v>5911.1258278145697</v>
      </c>
      <c r="J162" s="56" t="s">
        <v>42</v>
      </c>
      <c r="K162" s="56">
        <v>3</v>
      </c>
      <c r="L162" s="56"/>
      <c r="M162" s="56"/>
      <c r="N162" s="200">
        <v>43647</v>
      </c>
    </row>
    <row r="163" spans="1:14" x14ac:dyDescent="0.35">
      <c r="A163" s="56">
        <v>968900</v>
      </c>
      <c r="B163" s="56" t="s">
        <v>269</v>
      </c>
      <c r="C163" s="203"/>
      <c r="D163" s="203"/>
      <c r="E163" s="203">
        <v>4717</v>
      </c>
      <c r="F163" s="203">
        <v>0</v>
      </c>
      <c r="G163" s="56"/>
      <c r="H163" s="203">
        <v>4060.993377483444</v>
      </c>
      <c r="I163" s="203">
        <v>4060.993377483444</v>
      </c>
      <c r="J163" s="56" t="s">
        <v>42</v>
      </c>
      <c r="K163" s="56">
        <v>3</v>
      </c>
      <c r="L163" s="56"/>
      <c r="M163" s="56"/>
      <c r="N163" s="200">
        <v>43647</v>
      </c>
    </row>
    <row r="164" spans="1:14" x14ac:dyDescent="0.35">
      <c r="A164" s="56">
        <v>968901</v>
      </c>
      <c r="B164" s="56" t="s">
        <v>260</v>
      </c>
      <c r="C164" s="203"/>
      <c r="D164" s="203"/>
      <c r="E164" s="203">
        <v>553</v>
      </c>
      <c r="F164" s="203">
        <v>0</v>
      </c>
      <c r="G164" s="56"/>
      <c r="H164" s="203">
        <v>556.66225165562912</v>
      </c>
      <c r="I164" s="203">
        <v>556.66225165562912</v>
      </c>
      <c r="J164" s="56" t="s">
        <v>42</v>
      </c>
      <c r="K164" s="56">
        <v>3</v>
      </c>
      <c r="L164" s="56"/>
      <c r="M164" s="56"/>
      <c r="N164" s="200">
        <v>43647</v>
      </c>
    </row>
    <row r="165" spans="1:14" x14ac:dyDescent="0.35">
      <c r="A165" s="56">
        <v>968901</v>
      </c>
      <c r="B165" s="56" t="s">
        <v>261</v>
      </c>
      <c r="C165" s="203"/>
      <c r="D165" s="203"/>
      <c r="E165" s="203">
        <v>21695</v>
      </c>
      <c r="F165" s="203">
        <v>0</v>
      </c>
      <c r="G165" s="56"/>
      <c r="H165" s="203">
        <v>18677.814569536426</v>
      </c>
      <c r="I165" s="203">
        <v>18677.814569536426</v>
      </c>
      <c r="J165" s="56" t="s">
        <v>42</v>
      </c>
      <c r="K165" s="56">
        <v>3</v>
      </c>
      <c r="L165" s="56"/>
      <c r="M165" s="56"/>
      <c r="N165" s="200">
        <v>43647</v>
      </c>
    </row>
    <row r="166" spans="1:14" x14ac:dyDescent="0.35">
      <c r="A166" s="56">
        <v>968901</v>
      </c>
      <c r="B166" s="56" t="s">
        <v>262</v>
      </c>
      <c r="C166" s="203"/>
      <c r="D166" s="203"/>
      <c r="E166" s="203">
        <v>4136</v>
      </c>
      <c r="F166" s="203">
        <v>0</v>
      </c>
      <c r="G166" s="56"/>
      <c r="H166" s="203">
        <v>3560.7947019867552</v>
      </c>
      <c r="I166" s="203">
        <v>3560.7947019867552</v>
      </c>
      <c r="J166" s="56" t="s">
        <v>42</v>
      </c>
      <c r="K166" s="56">
        <v>3</v>
      </c>
      <c r="L166" s="56"/>
      <c r="M166" s="56"/>
      <c r="N166" s="200">
        <v>43647</v>
      </c>
    </row>
    <row r="167" spans="1:14" x14ac:dyDescent="0.35">
      <c r="A167" s="56">
        <v>968903</v>
      </c>
      <c r="B167" s="56" t="s">
        <v>264</v>
      </c>
      <c r="C167" s="203"/>
      <c r="D167" s="203"/>
      <c r="E167" s="203">
        <v>5410</v>
      </c>
      <c r="F167" s="203">
        <v>0</v>
      </c>
      <c r="G167" s="56"/>
      <c r="H167" s="203">
        <v>5374.1721854304633</v>
      </c>
      <c r="I167" s="203">
        <v>5374.1721854304633</v>
      </c>
      <c r="J167" s="56" t="s">
        <v>42</v>
      </c>
      <c r="K167" s="56">
        <v>3</v>
      </c>
      <c r="L167" s="56"/>
      <c r="M167" s="56"/>
      <c r="N167" s="200">
        <v>43647</v>
      </c>
    </row>
    <row r="168" spans="1:14" x14ac:dyDescent="0.35">
      <c r="A168" s="56">
        <v>968903</v>
      </c>
      <c r="B168" s="56" t="s">
        <v>265</v>
      </c>
      <c r="C168" s="203"/>
      <c r="D168" s="203"/>
      <c r="E168" s="203">
        <v>8916</v>
      </c>
      <c r="F168" s="203">
        <v>0</v>
      </c>
      <c r="G168" s="56"/>
      <c r="H168" s="203">
        <v>4133.2450331125829</v>
      </c>
      <c r="I168" s="203">
        <v>4133.2450331125829</v>
      </c>
      <c r="J168" s="56" t="s">
        <v>42</v>
      </c>
      <c r="K168" s="56">
        <v>3</v>
      </c>
      <c r="L168" s="56"/>
      <c r="M168" s="56"/>
      <c r="N168" s="200">
        <v>43647</v>
      </c>
    </row>
    <row r="169" spans="1:14" x14ac:dyDescent="0.35">
      <c r="A169" s="56">
        <v>968903</v>
      </c>
      <c r="B169" s="56" t="s">
        <v>264</v>
      </c>
      <c r="C169" s="203"/>
      <c r="D169" s="203"/>
      <c r="E169" s="203">
        <v>920</v>
      </c>
      <c r="F169" s="203">
        <v>0</v>
      </c>
      <c r="G169" s="56"/>
      <c r="H169" s="203">
        <v>731.12582781456956</v>
      </c>
      <c r="I169" s="203">
        <v>731.12582781456956</v>
      </c>
      <c r="J169" s="56" t="s">
        <v>42</v>
      </c>
      <c r="K169" s="56">
        <v>3</v>
      </c>
      <c r="L169" s="56"/>
      <c r="M169" s="56"/>
      <c r="N169" s="200">
        <v>43647</v>
      </c>
    </row>
    <row r="170" spans="1:14" x14ac:dyDescent="0.35">
      <c r="A170" s="56">
        <v>968903</v>
      </c>
      <c r="B170" s="56" t="s">
        <v>263</v>
      </c>
      <c r="C170" s="203"/>
      <c r="D170" s="203"/>
      <c r="E170" s="203">
        <v>1031</v>
      </c>
      <c r="F170" s="203">
        <v>0</v>
      </c>
      <c r="G170" s="56"/>
      <c r="H170" s="203">
        <v>819.33774834437088</v>
      </c>
      <c r="I170" s="203">
        <v>819.33774834437088</v>
      </c>
      <c r="J170" s="56" t="s">
        <v>42</v>
      </c>
      <c r="K170" s="56">
        <v>3</v>
      </c>
      <c r="L170" s="56"/>
      <c r="M170" s="56"/>
      <c r="N170" s="200">
        <v>43647</v>
      </c>
    </row>
    <row r="171" spans="1:14" x14ac:dyDescent="0.35">
      <c r="A171" s="56">
        <v>968903</v>
      </c>
      <c r="B171" s="56" t="s">
        <v>266</v>
      </c>
      <c r="C171" s="203"/>
      <c r="D171" s="203"/>
      <c r="E171" s="203">
        <v>2724</v>
      </c>
      <c r="F171" s="203">
        <v>0</v>
      </c>
      <c r="G171" s="56"/>
      <c r="H171" s="203">
        <v>992.18543046357615</v>
      </c>
      <c r="I171" s="203">
        <v>992.18543046357615</v>
      </c>
      <c r="J171" s="56" t="s">
        <v>42</v>
      </c>
      <c r="K171" s="56">
        <v>3</v>
      </c>
      <c r="L171" s="56"/>
      <c r="M171" s="56"/>
      <c r="N171" s="200">
        <v>43647</v>
      </c>
    </row>
    <row r="172" spans="1:14" x14ac:dyDescent="0.35">
      <c r="A172" s="56">
        <v>968903</v>
      </c>
      <c r="B172" s="56" t="s">
        <v>266</v>
      </c>
      <c r="C172" s="203"/>
      <c r="D172" s="203"/>
      <c r="E172" s="203">
        <v>1490</v>
      </c>
      <c r="F172" s="203">
        <v>0</v>
      </c>
      <c r="G172" s="56"/>
      <c r="H172" s="203">
        <v>296.02649006622516</v>
      </c>
      <c r="I172" s="203">
        <v>296.02649006622516</v>
      </c>
      <c r="J172" s="56" t="s">
        <v>42</v>
      </c>
      <c r="K172" s="56">
        <v>3</v>
      </c>
      <c r="L172" s="56"/>
      <c r="M172" s="56"/>
      <c r="N172" s="200">
        <v>43647</v>
      </c>
    </row>
    <row r="173" spans="1:14" x14ac:dyDescent="0.35">
      <c r="A173" s="56">
        <v>968903</v>
      </c>
      <c r="B173" s="56" t="s">
        <v>266</v>
      </c>
      <c r="C173" s="203"/>
      <c r="D173" s="203"/>
      <c r="E173" s="203">
        <v>741</v>
      </c>
      <c r="F173" s="203">
        <v>0</v>
      </c>
      <c r="G173" s="56"/>
      <c r="H173" s="203">
        <v>98.145695364238406</v>
      </c>
      <c r="I173" s="203">
        <v>98.145695364238406</v>
      </c>
      <c r="J173" s="56" t="s">
        <v>42</v>
      </c>
      <c r="K173" s="56">
        <v>3</v>
      </c>
      <c r="L173" s="56"/>
      <c r="M173" s="56"/>
      <c r="N173" s="200">
        <v>43647</v>
      </c>
    </row>
    <row r="174" spans="1:14" x14ac:dyDescent="0.35">
      <c r="A174" s="56">
        <v>968903</v>
      </c>
      <c r="B174" s="56" t="s">
        <v>267</v>
      </c>
      <c r="C174" s="203"/>
      <c r="D174" s="203"/>
      <c r="E174" s="203">
        <v>3567</v>
      </c>
      <c r="F174" s="203">
        <v>0</v>
      </c>
      <c r="G174" s="56"/>
      <c r="H174" s="203">
        <v>3070.9271523178809</v>
      </c>
      <c r="I174" s="203">
        <v>3070.9271523178809</v>
      </c>
      <c r="J174" s="56" t="s">
        <v>42</v>
      </c>
      <c r="K174" s="56">
        <v>3</v>
      </c>
      <c r="L174" s="56"/>
      <c r="M174" s="56"/>
      <c r="N174" s="200">
        <v>43647</v>
      </c>
    </row>
    <row r="175" spans="1:14" x14ac:dyDescent="0.35">
      <c r="A175" s="56">
        <v>968903</v>
      </c>
      <c r="B175" s="56" t="s">
        <v>257</v>
      </c>
      <c r="C175" s="203"/>
      <c r="D175" s="203"/>
      <c r="E175" s="203">
        <v>10554</v>
      </c>
      <c r="F175" s="203">
        <v>0</v>
      </c>
      <c r="G175" s="56"/>
      <c r="H175" s="203">
        <v>1048.4105960264901</v>
      </c>
      <c r="I175" s="203">
        <v>1048.4105960264901</v>
      </c>
      <c r="J175" s="56" t="s">
        <v>42</v>
      </c>
      <c r="K175" s="56">
        <v>3</v>
      </c>
      <c r="L175" s="56"/>
      <c r="M175" s="56"/>
      <c r="N175" s="200">
        <v>43647</v>
      </c>
    </row>
    <row r="176" spans="1:14" x14ac:dyDescent="0.35">
      <c r="A176" s="56">
        <v>968903</v>
      </c>
      <c r="B176" s="56" t="s">
        <v>268</v>
      </c>
      <c r="C176" s="203"/>
      <c r="D176" s="203"/>
      <c r="E176" s="203">
        <v>343</v>
      </c>
      <c r="F176" s="203">
        <v>0</v>
      </c>
      <c r="G176" s="56"/>
      <c r="H176" s="203">
        <v>295.29801324503313</v>
      </c>
      <c r="I176" s="203">
        <v>295.29801324503313</v>
      </c>
      <c r="J176" s="56" t="s">
        <v>42</v>
      </c>
      <c r="K176" s="56">
        <v>3</v>
      </c>
      <c r="L176" s="56"/>
      <c r="M176" s="56"/>
      <c r="N176" s="200">
        <v>43647</v>
      </c>
    </row>
    <row r="177" spans="1:14" x14ac:dyDescent="0.35">
      <c r="A177" s="56">
        <v>968904</v>
      </c>
      <c r="B177" s="56" t="s">
        <v>229</v>
      </c>
      <c r="C177" s="203"/>
      <c r="D177" s="203"/>
      <c r="E177" s="203">
        <v>13023</v>
      </c>
      <c r="F177" s="203">
        <v>0</v>
      </c>
      <c r="G177" s="56"/>
      <c r="H177" s="203">
        <v>11211.854304635763</v>
      </c>
      <c r="I177" s="203">
        <v>11211.854304635763</v>
      </c>
      <c r="J177" s="56" t="s">
        <v>42</v>
      </c>
      <c r="K177" s="56">
        <v>3</v>
      </c>
      <c r="L177" s="56"/>
      <c r="M177" s="56"/>
      <c r="N177" s="200">
        <v>43647</v>
      </c>
    </row>
    <row r="178" spans="1:14" x14ac:dyDescent="0.35">
      <c r="A178" s="56">
        <v>968900</v>
      </c>
      <c r="B178" s="56" t="s">
        <v>276</v>
      </c>
      <c r="C178" s="203"/>
      <c r="D178" s="203"/>
      <c r="E178" s="203">
        <v>3600</v>
      </c>
      <c r="F178" s="203">
        <v>0</v>
      </c>
      <c r="G178" s="56"/>
      <c r="H178" s="203">
        <v>3099.337748344371</v>
      </c>
      <c r="I178" s="203">
        <v>3099.337748344371</v>
      </c>
      <c r="J178" s="56" t="s">
        <v>42</v>
      </c>
      <c r="K178" s="56">
        <v>3</v>
      </c>
      <c r="L178" s="56"/>
      <c r="M178" s="56"/>
      <c r="N178" s="200">
        <v>43678</v>
      </c>
    </row>
    <row r="179" spans="1:14" x14ac:dyDescent="0.35">
      <c r="A179" s="56">
        <v>968900</v>
      </c>
      <c r="B179" s="56" t="s">
        <v>279</v>
      </c>
      <c r="C179" s="203"/>
      <c r="D179" s="203"/>
      <c r="E179" s="203">
        <v>11020</v>
      </c>
      <c r="F179" s="203">
        <v>0</v>
      </c>
      <c r="G179" s="56"/>
      <c r="H179" s="203">
        <v>9487.4172185430471</v>
      </c>
      <c r="I179" s="203">
        <v>9487.4172185430471</v>
      </c>
      <c r="J179" s="56" t="s">
        <v>42</v>
      </c>
      <c r="K179" s="56">
        <v>3</v>
      </c>
      <c r="L179" s="56"/>
      <c r="M179" s="56"/>
      <c r="N179" s="200">
        <v>43678</v>
      </c>
    </row>
    <row r="180" spans="1:14" x14ac:dyDescent="0.35">
      <c r="A180" s="56">
        <v>968900</v>
      </c>
      <c r="B180" s="56" t="s">
        <v>277</v>
      </c>
      <c r="C180" s="203"/>
      <c r="D180" s="203"/>
      <c r="E180" s="203">
        <v>12961</v>
      </c>
      <c r="F180" s="203">
        <v>0</v>
      </c>
      <c r="G180" s="56"/>
      <c r="H180" s="203">
        <v>11158.476821192053</v>
      </c>
      <c r="I180" s="203">
        <v>11158.476821192053</v>
      </c>
      <c r="J180" s="56" t="s">
        <v>42</v>
      </c>
      <c r="K180" s="56">
        <v>3</v>
      </c>
      <c r="L180" s="56"/>
      <c r="M180" s="56"/>
      <c r="N180" s="200">
        <v>43678</v>
      </c>
    </row>
    <row r="181" spans="1:14" x14ac:dyDescent="0.35">
      <c r="A181" s="56">
        <v>968900</v>
      </c>
      <c r="B181" s="56" t="s">
        <v>278</v>
      </c>
      <c r="C181" s="203"/>
      <c r="D181" s="203"/>
      <c r="E181" s="203">
        <v>12521</v>
      </c>
      <c r="F181" s="203">
        <v>0</v>
      </c>
      <c r="G181" s="56"/>
      <c r="H181" s="203">
        <v>10779.668874172186</v>
      </c>
      <c r="I181" s="203">
        <v>10779.668874172186</v>
      </c>
      <c r="J181" s="56" t="s">
        <v>42</v>
      </c>
      <c r="K181" s="56">
        <v>3</v>
      </c>
      <c r="L181" s="56"/>
      <c r="M181" s="56"/>
      <c r="N181" s="200">
        <v>43678</v>
      </c>
    </row>
    <row r="182" spans="1:14" x14ac:dyDescent="0.35">
      <c r="A182" s="56">
        <v>968900</v>
      </c>
      <c r="B182" s="56" t="s">
        <v>280</v>
      </c>
      <c r="C182" s="203"/>
      <c r="D182" s="203"/>
      <c r="E182" s="203">
        <v>11911</v>
      </c>
      <c r="F182" s="203">
        <v>0</v>
      </c>
      <c r="G182" s="56"/>
      <c r="H182" s="203">
        <v>10254.503311258279</v>
      </c>
      <c r="I182" s="203">
        <v>10254.503311258279</v>
      </c>
      <c r="J182" s="56" t="s">
        <v>42</v>
      </c>
      <c r="K182" s="56">
        <v>3</v>
      </c>
      <c r="L182" s="56"/>
      <c r="M182" s="56"/>
      <c r="N182" s="200">
        <v>43678</v>
      </c>
    </row>
    <row r="183" spans="1:14" x14ac:dyDescent="0.35">
      <c r="A183" s="56">
        <v>968900</v>
      </c>
      <c r="B183" s="56" t="s">
        <v>281</v>
      </c>
      <c r="C183" s="203"/>
      <c r="D183" s="203"/>
      <c r="E183" s="203">
        <v>1799</v>
      </c>
      <c r="F183" s="203">
        <v>0</v>
      </c>
      <c r="G183" s="56"/>
      <c r="H183" s="203">
        <v>1072.2516556291391</v>
      </c>
      <c r="I183" s="203">
        <v>1072.2516556291391</v>
      </c>
      <c r="J183" s="56" t="s">
        <v>42</v>
      </c>
      <c r="K183" s="56">
        <v>3</v>
      </c>
      <c r="L183" s="56"/>
      <c r="M183" s="56"/>
      <c r="N183" s="200">
        <v>43678</v>
      </c>
    </row>
    <row r="184" spans="1:14" x14ac:dyDescent="0.35">
      <c r="A184" s="56">
        <v>968900</v>
      </c>
      <c r="B184" s="56" t="s">
        <v>281</v>
      </c>
      <c r="C184" s="203"/>
      <c r="D184" s="203"/>
      <c r="E184" s="203">
        <v>525</v>
      </c>
      <c r="F184" s="203">
        <v>0</v>
      </c>
      <c r="G184" s="56"/>
      <c r="H184" s="203">
        <v>52.152317880794705</v>
      </c>
      <c r="I184" s="203">
        <v>52.152317880794705</v>
      </c>
      <c r="J184" s="56" t="s">
        <v>42</v>
      </c>
      <c r="K184" s="56">
        <v>3</v>
      </c>
      <c r="L184" s="56"/>
      <c r="M184" s="56"/>
      <c r="N184" s="200">
        <v>43678</v>
      </c>
    </row>
    <row r="185" spans="1:14" x14ac:dyDescent="0.35">
      <c r="A185" s="56">
        <v>968901</v>
      </c>
      <c r="B185" s="56" t="s">
        <v>273</v>
      </c>
      <c r="C185" s="203"/>
      <c r="D185" s="203"/>
      <c r="E185" s="203">
        <v>8737</v>
      </c>
      <c r="F185" s="203">
        <v>0</v>
      </c>
      <c r="G185" s="56"/>
      <c r="H185" s="203">
        <v>7521.9205298013248</v>
      </c>
      <c r="I185" s="203">
        <v>7521.9205298013248</v>
      </c>
      <c r="J185" s="56" t="s">
        <v>42</v>
      </c>
      <c r="K185" s="56">
        <v>3</v>
      </c>
      <c r="L185" s="56"/>
      <c r="M185" s="56"/>
      <c r="N185" s="200">
        <v>43678</v>
      </c>
    </row>
    <row r="186" spans="1:14" x14ac:dyDescent="0.35">
      <c r="A186" s="56">
        <v>968901</v>
      </c>
      <c r="B186" s="56" t="s">
        <v>261</v>
      </c>
      <c r="C186" s="203"/>
      <c r="D186" s="203"/>
      <c r="E186" s="203">
        <v>40712</v>
      </c>
      <c r="F186" s="203">
        <v>0</v>
      </c>
      <c r="G186" s="56"/>
      <c r="H186" s="203">
        <v>35050.066225165567</v>
      </c>
      <c r="I186" s="203">
        <v>35050.066225165567</v>
      </c>
      <c r="J186" s="56" t="s">
        <v>42</v>
      </c>
      <c r="K186" s="56">
        <v>3</v>
      </c>
      <c r="L186" s="56"/>
      <c r="M186" s="56"/>
      <c r="N186" s="200">
        <v>43678</v>
      </c>
    </row>
    <row r="187" spans="1:14" x14ac:dyDescent="0.35">
      <c r="A187" s="56">
        <v>968901</v>
      </c>
      <c r="B187" s="56" t="s">
        <v>274</v>
      </c>
      <c r="C187" s="203"/>
      <c r="D187" s="203"/>
      <c r="E187" s="203">
        <v>11333</v>
      </c>
      <c r="F187" s="203">
        <v>0</v>
      </c>
      <c r="G187" s="56"/>
      <c r="H187" s="203">
        <v>9756.8874172185424</v>
      </c>
      <c r="I187" s="203">
        <v>9756.8874172185424</v>
      </c>
      <c r="J187" s="56" t="s">
        <v>42</v>
      </c>
      <c r="K187" s="56">
        <v>3</v>
      </c>
      <c r="L187" s="56"/>
      <c r="M187" s="56"/>
      <c r="N187" s="200">
        <v>43678</v>
      </c>
    </row>
    <row r="188" spans="1:14" x14ac:dyDescent="0.35">
      <c r="A188" s="56">
        <v>968901</v>
      </c>
      <c r="B188" s="56" t="s">
        <v>275</v>
      </c>
      <c r="C188" s="203"/>
      <c r="D188" s="203"/>
      <c r="E188" s="203">
        <v>2610</v>
      </c>
      <c r="F188" s="203">
        <v>0</v>
      </c>
      <c r="G188" s="56"/>
      <c r="H188" s="203">
        <v>2247.019867549669</v>
      </c>
      <c r="I188" s="203">
        <v>2247.019867549669</v>
      </c>
      <c r="J188" s="56" t="s">
        <v>42</v>
      </c>
      <c r="K188" s="56">
        <v>3</v>
      </c>
      <c r="L188" s="56"/>
      <c r="M188" s="56"/>
      <c r="N188" s="200">
        <v>43678</v>
      </c>
    </row>
    <row r="189" spans="1:14" x14ac:dyDescent="0.35">
      <c r="A189" s="56">
        <v>968903</v>
      </c>
      <c r="B189" s="56" t="s">
        <v>268</v>
      </c>
      <c r="C189" s="203"/>
      <c r="D189" s="203"/>
      <c r="E189" s="203">
        <v>27491</v>
      </c>
      <c r="F189" s="203">
        <v>0</v>
      </c>
      <c r="G189" s="56"/>
      <c r="H189" s="203">
        <v>23667.748344370862</v>
      </c>
      <c r="I189" s="203">
        <v>23667.748344370862</v>
      </c>
      <c r="J189" s="56" t="s">
        <v>42</v>
      </c>
      <c r="K189" s="56">
        <v>3</v>
      </c>
      <c r="L189" s="56"/>
      <c r="M189" s="56"/>
      <c r="N189" s="200">
        <v>43678</v>
      </c>
    </row>
    <row r="190" spans="1:14" x14ac:dyDescent="0.35">
      <c r="A190" s="56">
        <v>968903</v>
      </c>
      <c r="B190" s="56" t="s">
        <v>204</v>
      </c>
      <c r="C190" s="203"/>
      <c r="D190" s="203"/>
      <c r="E190" s="203">
        <v>29483</v>
      </c>
      <c r="F190" s="203">
        <v>0</v>
      </c>
      <c r="G190" s="56"/>
      <c r="H190" s="203">
        <v>23430.198675496689</v>
      </c>
      <c r="I190" s="203">
        <v>23430.198675496689</v>
      </c>
      <c r="J190" s="56" t="s">
        <v>42</v>
      </c>
      <c r="K190" s="56">
        <v>3</v>
      </c>
      <c r="L190" s="56"/>
      <c r="M190" s="56"/>
      <c r="N190" s="200">
        <v>43678</v>
      </c>
    </row>
    <row r="191" spans="1:14" x14ac:dyDescent="0.35">
      <c r="A191" s="56">
        <v>968904</v>
      </c>
      <c r="B191" s="56" t="s">
        <v>229</v>
      </c>
      <c r="C191" s="203"/>
      <c r="D191" s="203"/>
      <c r="E191" s="203">
        <v>18254</v>
      </c>
      <c r="F191" s="203">
        <v>0</v>
      </c>
      <c r="G191" s="56"/>
      <c r="H191" s="203">
        <v>15715.364238410597</v>
      </c>
      <c r="I191" s="203">
        <v>15715.364238410597</v>
      </c>
      <c r="J191" s="56" t="s">
        <v>42</v>
      </c>
      <c r="K191" s="56">
        <v>3</v>
      </c>
      <c r="L191" s="56"/>
      <c r="M191" s="56"/>
      <c r="N191" s="200">
        <v>43678</v>
      </c>
    </row>
    <row r="192" spans="1:14" x14ac:dyDescent="0.35">
      <c r="A192" s="56">
        <v>968900</v>
      </c>
      <c r="B192" s="56" t="s">
        <v>283</v>
      </c>
      <c r="C192" s="203"/>
      <c r="D192" s="203"/>
      <c r="E192" s="203">
        <v>10022</v>
      </c>
      <c r="F192" s="203">
        <v>0</v>
      </c>
      <c r="G192" s="56"/>
      <c r="H192" s="203">
        <v>5973.377483443709</v>
      </c>
      <c r="I192" s="203">
        <v>5973.377483443709</v>
      </c>
      <c r="J192" s="56" t="s">
        <v>42</v>
      </c>
      <c r="K192" s="56">
        <v>3</v>
      </c>
      <c r="L192" s="56"/>
      <c r="M192" s="56"/>
      <c r="N192" s="200">
        <v>43709</v>
      </c>
    </row>
    <row r="193" spans="1:14" x14ac:dyDescent="0.35">
      <c r="A193" s="56">
        <v>968900</v>
      </c>
      <c r="B193" s="56" t="s">
        <v>284</v>
      </c>
      <c r="C193" s="203"/>
      <c r="D193" s="203"/>
      <c r="E193" s="203">
        <v>12476</v>
      </c>
      <c r="F193" s="203">
        <v>0</v>
      </c>
      <c r="G193" s="56"/>
      <c r="H193" s="203">
        <v>7436.0264900662251</v>
      </c>
      <c r="I193" s="203">
        <v>7436.0264900662251</v>
      </c>
      <c r="J193" s="56" t="s">
        <v>42</v>
      </c>
      <c r="K193" s="56">
        <v>3</v>
      </c>
      <c r="L193" s="56"/>
      <c r="M193" s="56"/>
      <c r="N193" s="200">
        <v>43709</v>
      </c>
    </row>
    <row r="194" spans="1:14" x14ac:dyDescent="0.35">
      <c r="A194" s="56">
        <v>968900</v>
      </c>
      <c r="B194" s="56" t="s">
        <v>292</v>
      </c>
      <c r="C194" s="203"/>
      <c r="D194" s="203"/>
      <c r="E194" s="203">
        <v>5513</v>
      </c>
      <c r="F194" s="203">
        <v>0</v>
      </c>
      <c r="G194" s="56"/>
      <c r="H194" s="203">
        <v>4746.2913907284774</v>
      </c>
      <c r="I194" s="203">
        <v>4746.2913907284774</v>
      </c>
      <c r="J194" s="56" t="s">
        <v>42</v>
      </c>
      <c r="K194" s="56">
        <v>3</v>
      </c>
      <c r="L194" s="56"/>
      <c r="M194" s="56"/>
      <c r="N194" s="200">
        <v>43709</v>
      </c>
    </row>
    <row r="195" spans="1:14" x14ac:dyDescent="0.35">
      <c r="A195" s="56">
        <v>968900</v>
      </c>
      <c r="B195" s="56" t="s">
        <v>292</v>
      </c>
      <c r="C195" s="203"/>
      <c r="D195" s="203"/>
      <c r="E195" s="203">
        <v>3015</v>
      </c>
      <c r="F195" s="203">
        <v>0</v>
      </c>
      <c r="G195" s="56"/>
      <c r="H195" s="203">
        <v>1797.019867549669</v>
      </c>
      <c r="I195" s="203">
        <v>1797.019867549669</v>
      </c>
      <c r="J195" s="56" t="s">
        <v>42</v>
      </c>
      <c r="K195" s="56">
        <v>3</v>
      </c>
      <c r="L195" s="56"/>
      <c r="M195" s="56"/>
      <c r="N195" s="200">
        <v>43709</v>
      </c>
    </row>
    <row r="196" spans="1:14" x14ac:dyDescent="0.35">
      <c r="A196" s="56">
        <v>968900</v>
      </c>
      <c r="B196" s="56" t="s">
        <v>285</v>
      </c>
      <c r="C196" s="203"/>
      <c r="D196" s="203"/>
      <c r="E196" s="203">
        <v>8415</v>
      </c>
      <c r="F196" s="203">
        <v>0</v>
      </c>
      <c r="G196" s="56"/>
      <c r="H196" s="203">
        <v>5015.5629139072853</v>
      </c>
      <c r="I196" s="203">
        <v>5015.5629139072853</v>
      </c>
      <c r="J196" s="56" t="s">
        <v>42</v>
      </c>
      <c r="K196" s="56">
        <v>3</v>
      </c>
      <c r="L196" s="56"/>
      <c r="M196" s="56"/>
      <c r="N196" s="200">
        <v>43709</v>
      </c>
    </row>
    <row r="197" spans="1:14" x14ac:dyDescent="0.35">
      <c r="A197" s="56">
        <v>968900</v>
      </c>
      <c r="B197" s="56" t="s">
        <v>293</v>
      </c>
      <c r="C197" s="203"/>
      <c r="D197" s="203"/>
      <c r="E197" s="203">
        <v>2930</v>
      </c>
      <c r="F197" s="203">
        <v>0</v>
      </c>
      <c r="G197" s="56"/>
      <c r="H197" s="203">
        <v>1746.3576158940398</v>
      </c>
      <c r="I197" s="203">
        <v>1746.3576158940398</v>
      </c>
      <c r="J197" s="56" t="s">
        <v>42</v>
      </c>
      <c r="K197" s="56">
        <v>3</v>
      </c>
      <c r="L197" s="56"/>
      <c r="M197" s="56"/>
      <c r="N197" s="200">
        <v>43709</v>
      </c>
    </row>
    <row r="198" spans="1:14" x14ac:dyDescent="0.35">
      <c r="A198" s="56">
        <v>968900</v>
      </c>
      <c r="B198" s="56" t="s">
        <v>302</v>
      </c>
      <c r="C198" s="203"/>
      <c r="D198" s="203"/>
      <c r="E198" s="203">
        <v>3000</v>
      </c>
      <c r="F198" s="203">
        <v>0</v>
      </c>
      <c r="G198" s="56"/>
      <c r="H198" s="203">
        <v>596.02649006622516</v>
      </c>
      <c r="I198" s="203">
        <v>596.02649006622516</v>
      </c>
      <c r="J198" s="56" t="s">
        <v>42</v>
      </c>
      <c r="K198" s="56">
        <v>3</v>
      </c>
      <c r="L198" s="56"/>
      <c r="M198" s="56"/>
      <c r="N198" s="200">
        <v>43709</v>
      </c>
    </row>
    <row r="199" spans="1:14" x14ac:dyDescent="0.35">
      <c r="A199" s="56">
        <v>968900</v>
      </c>
      <c r="B199" s="56" t="s">
        <v>303</v>
      </c>
      <c r="C199" s="203"/>
      <c r="D199" s="203"/>
      <c r="E199" s="203">
        <v>16824</v>
      </c>
      <c r="F199" s="203">
        <v>0</v>
      </c>
      <c r="G199" s="56"/>
      <c r="H199" s="203">
        <v>14484.238410596026</v>
      </c>
      <c r="I199" s="203">
        <v>14484.238410596026</v>
      </c>
      <c r="J199" s="56" t="s">
        <v>42</v>
      </c>
      <c r="K199" s="56">
        <v>3</v>
      </c>
      <c r="L199" s="56"/>
      <c r="M199" s="56"/>
      <c r="N199" s="200">
        <v>43709</v>
      </c>
    </row>
    <row r="200" spans="1:14" x14ac:dyDescent="0.35">
      <c r="A200" s="56">
        <v>968901</v>
      </c>
      <c r="B200" s="56" t="s">
        <v>275</v>
      </c>
      <c r="C200" s="203"/>
      <c r="D200" s="203"/>
      <c r="E200" s="203">
        <v>5797</v>
      </c>
      <c r="F200" s="203">
        <v>0</v>
      </c>
      <c r="G200" s="56"/>
      <c r="H200" s="203">
        <v>4990.7947019867552</v>
      </c>
      <c r="I200" s="203">
        <v>4990.7947019867552</v>
      </c>
      <c r="J200" s="56" t="s">
        <v>42</v>
      </c>
      <c r="K200" s="56">
        <v>3</v>
      </c>
      <c r="L200" s="56"/>
      <c r="M200" s="56"/>
      <c r="N200" s="200">
        <v>43709</v>
      </c>
    </row>
    <row r="201" spans="1:14" x14ac:dyDescent="0.35">
      <c r="A201" s="56">
        <v>968901</v>
      </c>
      <c r="B201" s="56" t="s">
        <v>286</v>
      </c>
      <c r="C201" s="203"/>
      <c r="D201" s="203"/>
      <c r="E201" s="203">
        <v>5040</v>
      </c>
      <c r="F201" s="203">
        <v>0</v>
      </c>
      <c r="G201" s="56"/>
      <c r="H201" s="203">
        <v>1001.3245033112584</v>
      </c>
      <c r="I201" s="203">
        <v>1001.3245033112584</v>
      </c>
      <c r="J201" s="56" t="s">
        <v>42</v>
      </c>
      <c r="K201" s="56">
        <v>3</v>
      </c>
      <c r="L201" s="56"/>
      <c r="M201" s="56"/>
      <c r="N201" s="200">
        <v>43709</v>
      </c>
    </row>
    <row r="202" spans="1:14" x14ac:dyDescent="0.35">
      <c r="A202" s="56">
        <v>968901</v>
      </c>
      <c r="B202" s="56" t="s">
        <v>287</v>
      </c>
      <c r="C202" s="203"/>
      <c r="D202" s="203"/>
      <c r="E202" s="203">
        <v>3325</v>
      </c>
      <c r="F202" s="203">
        <v>0</v>
      </c>
      <c r="G202" s="56"/>
      <c r="H202" s="203">
        <v>660.59602649006627</v>
      </c>
      <c r="I202" s="203">
        <v>660.59602649006627</v>
      </c>
      <c r="J202" s="56" t="s">
        <v>42</v>
      </c>
      <c r="K202" s="56">
        <v>3</v>
      </c>
      <c r="L202" s="56"/>
      <c r="M202" s="56"/>
      <c r="N202" s="200">
        <v>43709</v>
      </c>
    </row>
    <row r="203" spans="1:14" x14ac:dyDescent="0.35">
      <c r="A203" s="56">
        <v>968901</v>
      </c>
      <c r="B203" s="56" t="s">
        <v>290</v>
      </c>
      <c r="C203" s="203"/>
      <c r="D203" s="203"/>
      <c r="E203" s="203">
        <v>25050</v>
      </c>
      <c r="F203" s="203">
        <v>0</v>
      </c>
      <c r="G203" s="56"/>
      <c r="H203" s="203">
        <v>21566.225165562915</v>
      </c>
      <c r="I203" s="203">
        <v>21566.225165562915</v>
      </c>
      <c r="J203" s="56" t="s">
        <v>42</v>
      </c>
      <c r="K203" s="56">
        <v>3</v>
      </c>
      <c r="L203" s="56"/>
      <c r="M203" s="56"/>
      <c r="N203" s="200">
        <v>43709</v>
      </c>
    </row>
    <row r="204" spans="1:14" x14ac:dyDescent="0.35">
      <c r="A204" s="56">
        <v>968901</v>
      </c>
      <c r="B204" s="56" t="s">
        <v>288</v>
      </c>
      <c r="C204" s="203"/>
      <c r="D204" s="203"/>
      <c r="E204" s="203">
        <v>5953</v>
      </c>
      <c r="F204" s="203">
        <v>0</v>
      </c>
      <c r="G204" s="56"/>
      <c r="H204" s="203">
        <v>3548.1456953642387</v>
      </c>
      <c r="I204" s="203">
        <v>3548.1456953642387</v>
      </c>
      <c r="J204" s="56" t="s">
        <v>42</v>
      </c>
      <c r="K204" s="56">
        <v>3</v>
      </c>
      <c r="L204" s="56"/>
      <c r="M204" s="56"/>
      <c r="N204" s="200">
        <v>43709</v>
      </c>
    </row>
    <row r="205" spans="1:14" x14ac:dyDescent="0.35">
      <c r="A205" s="56">
        <v>968901</v>
      </c>
      <c r="B205" s="56" t="s">
        <v>289</v>
      </c>
      <c r="C205" s="203"/>
      <c r="D205" s="203"/>
      <c r="E205" s="203">
        <v>3560</v>
      </c>
      <c r="F205" s="203">
        <v>0</v>
      </c>
      <c r="G205" s="56"/>
      <c r="H205" s="203">
        <v>3064.9006622516558</v>
      </c>
      <c r="I205" s="203">
        <v>3064.9006622516558</v>
      </c>
      <c r="J205" s="56" t="s">
        <v>42</v>
      </c>
      <c r="K205" s="56">
        <v>3</v>
      </c>
      <c r="L205" s="56"/>
      <c r="M205" s="56"/>
      <c r="N205" s="200">
        <v>43709</v>
      </c>
    </row>
    <row r="206" spans="1:14" x14ac:dyDescent="0.35">
      <c r="A206" s="56">
        <v>968901</v>
      </c>
      <c r="B206" s="56" t="s">
        <v>291</v>
      </c>
      <c r="C206" s="203"/>
      <c r="D206" s="203"/>
      <c r="E206" s="203">
        <v>9227</v>
      </c>
      <c r="F206" s="203">
        <v>0</v>
      </c>
      <c r="G206" s="56"/>
      <c r="H206" s="203">
        <v>5499.5364238410593</v>
      </c>
      <c r="I206" s="203">
        <v>5499.5364238410593</v>
      </c>
      <c r="J206" s="56" t="s">
        <v>42</v>
      </c>
      <c r="K206" s="56">
        <v>3</v>
      </c>
      <c r="L206" s="56"/>
      <c r="M206" s="56"/>
      <c r="N206" s="200">
        <v>43709</v>
      </c>
    </row>
    <row r="207" spans="1:14" x14ac:dyDescent="0.35">
      <c r="A207" s="56">
        <v>968903</v>
      </c>
      <c r="B207" s="56" t="s">
        <v>294</v>
      </c>
      <c r="C207" s="203"/>
      <c r="D207" s="203"/>
      <c r="E207" s="203">
        <v>32500</v>
      </c>
      <c r="F207" s="203">
        <v>0</v>
      </c>
      <c r="G207" s="56"/>
      <c r="H207" s="203">
        <v>10761.58940397351</v>
      </c>
      <c r="I207" s="203">
        <v>10761.58940397351</v>
      </c>
      <c r="J207" s="56" t="s">
        <v>42</v>
      </c>
      <c r="K207" s="56">
        <v>3</v>
      </c>
      <c r="L207" s="56"/>
      <c r="M207" s="56"/>
      <c r="N207" s="200">
        <v>43709</v>
      </c>
    </row>
    <row r="208" spans="1:14" x14ac:dyDescent="0.35">
      <c r="A208" s="56">
        <v>968903</v>
      </c>
      <c r="B208" s="56" t="s">
        <v>295</v>
      </c>
      <c r="C208" s="203"/>
      <c r="D208" s="203"/>
      <c r="E208" s="203">
        <v>2810</v>
      </c>
      <c r="F208" s="203">
        <v>0</v>
      </c>
      <c r="G208" s="56"/>
      <c r="H208" s="203">
        <v>2419.2052980132453</v>
      </c>
      <c r="I208" s="203">
        <v>2419.2052980132453</v>
      </c>
      <c r="J208" s="56" t="s">
        <v>42</v>
      </c>
      <c r="K208" s="56">
        <v>3</v>
      </c>
      <c r="L208" s="56"/>
      <c r="M208" s="56"/>
      <c r="N208" s="200">
        <v>43709</v>
      </c>
    </row>
    <row r="209" spans="1:14" x14ac:dyDescent="0.35">
      <c r="A209" s="56">
        <v>968903</v>
      </c>
      <c r="B209" s="56" t="s">
        <v>296</v>
      </c>
      <c r="C209" s="203"/>
      <c r="D209" s="203"/>
      <c r="E209" s="203">
        <v>1825</v>
      </c>
      <c r="F209" s="203">
        <v>0</v>
      </c>
      <c r="G209" s="56"/>
      <c r="H209" s="203">
        <v>1571.1920529801325</v>
      </c>
      <c r="I209" s="203">
        <v>1571.1920529801325</v>
      </c>
      <c r="J209" s="56" t="s">
        <v>42</v>
      </c>
      <c r="K209" s="56">
        <v>3</v>
      </c>
      <c r="L209" s="56"/>
      <c r="M209" s="56"/>
      <c r="N209" s="200">
        <v>43709</v>
      </c>
    </row>
    <row r="210" spans="1:14" x14ac:dyDescent="0.35">
      <c r="A210" s="56">
        <v>968903</v>
      </c>
      <c r="B210" s="56" t="s">
        <v>297</v>
      </c>
      <c r="C210" s="203"/>
      <c r="D210" s="203"/>
      <c r="E210" s="203">
        <v>1150</v>
      </c>
      <c r="F210" s="203">
        <v>0</v>
      </c>
      <c r="G210" s="56"/>
      <c r="H210" s="203">
        <v>990.06622516556297</v>
      </c>
      <c r="I210" s="203">
        <v>990.06622516556297</v>
      </c>
      <c r="J210" s="56" t="s">
        <v>42</v>
      </c>
      <c r="K210" s="56">
        <v>3</v>
      </c>
      <c r="L210" s="56"/>
      <c r="M210" s="56"/>
      <c r="N210" s="200">
        <v>43709</v>
      </c>
    </row>
    <row r="211" spans="1:14" x14ac:dyDescent="0.35">
      <c r="A211" s="56">
        <v>968903</v>
      </c>
      <c r="B211" s="56" t="s">
        <v>301</v>
      </c>
      <c r="C211" s="203"/>
      <c r="D211" s="203"/>
      <c r="E211" s="203">
        <v>1831</v>
      </c>
      <c r="F211" s="203">
        <v>0</v>
      </c>
      <c r="G211" s="56"/>
      <c r="H211" s="203">
        <v>1576.3576158940398</v>
      </c>
      <c r="I211" s="203">
        <v>1576.3576158940398</v>
      </c>
      <c r="J211" s="56" t="s">
        <v>42</v>
      </c>
      <c r="K211" s="56">
        <v>3</v>
      </c>
      <c r="L211" s="56"/>
      <c r="M211" s="56"/>
      <c r="N211" s="200">
        <v>43709</v>
      </c>
    </row>
    <row r="212" spans="1:14" x14ac:dyDescent="0.35">
      <c r="A212" s="56">
        <v>968903</v>
      </c>
      <c r="B212" s="56" t="s">
        <v>300</v>
      </c>
      <c r="C212" s="203"/>
      <c r="D212" s="203"/>
      <c r="E212" s="203">
        <v>2400</v>
      </c>
      <c r="F212" s="203">
        <v>0</v>
      </c>
      <c r="G212" s="56"/>
      <c r="H212" s="203">
        <v>2066.2251655629138</v>
      </c>
      <c r="I212" s="203">
        <v>2066.2251655629138</v>
      </c>
      <c r="J212" s="56" t="s">
        <v>42</v>
      </c>
      <c r="K212" s="56">
        <v>3</v>
      </c>
      <c r="L212" s="56"/>
      <c r="M212" s="56"/>
      <c r="N212" s="200">
        <v>43709</v>
      </c>
    </row>
    <row r="213" spans="1:14" x14ac:dyDescent="0.35">
      <c r="A213" s="56">
        <v>968903</v>
      </c>
      <c r="B213" s="56" t="s">
        <v>298</v>
      </c>
      <c r="C213" s="203"/>
      <c r="D213" s="203"/>
      <c r="E213" s="203">
        <v>4520</v>
      </c>
      <c r="F213" s="203">
        <v>0</v>
      </c>
      <c r="G213" s="56"/>
      <c r="H213" s="203">
        <v>3891.3907284768211</v>
      </c>
      <c r="I213" s="203">
        <v>3891.3907284768211</v>
      </c>
      <c r="J213" s="56" t="s">
        <v>42</v>
      </c>
      <c r="K213" s="56">
        <v>3</v>
      </c>
      <c r="L213" s="56"/>
      <c r="M213" s="56"/>
      <c r="N213" s="200">
        <v>43709</v>
      </c>
    </row>
    <row r="214" spans="1:14" x14ac:dyDescent="0.35">
      <c r="A214" s="56">
        <v>968904</v>
      </c>
      <c r="B214" s="56" t="s">
        <v>298</v>
      </c>
      <c r="C214" s="203"/>
      <c r="D214" s="203"/>
      <c r="E214" s="203">
        <v>4744</v>
      </c>
      <c r="F214" s="203">
        <v>0</v>
      </c>
      <c r="G214" s="56"/>
      <c r="H214" s="203">
        <v>4084.2384105960264</v>
      </c>
      <c r="I214" s="203">
        <v>4084.2384105960264</v>
      </c>
      <c r="J214" s="56" t="s">
        <v>42</v>
      </c>
      <c r="K214" s="56">
        <v>3</v>
      </c>
      <c r="L214" s="56"/>
      <c r="M214" s="56"/>
      <c r="N214" s="200">
        <v>43709</v>
      </c>
    </row>
    <row r="215" spans="1:14" x14ac:dyDescent="0.35">
      <c r="A215" s="56">
        <v>968904</v>
      </c>
      <c r="B215" s="56" t="s">
        <v>299</v>
      </c>
      <c r="C215" s="203"/>
      <c r="D215" s="203"/>
      <c r="E215" s="203">
        <v>33038</v>
      </c>
      <c r="F215" s="203">
        <v>0</v>
      </c>
      <c r="G215" s="56"/>
      <c r="H215" s="203">
        <v>28443.311258278147</v>
      </c>
      <c r="I215" s="203">
        <v>28443.311258278147</v>
      </c>
      <c r="J215" s="56" t="s">
        <v>42</v>
      </c>
      <c r="K215" s="56">
        <v>3</v>
      </c>
      <c r="L215" s="56"/>
      <c r="M215" s="56"/>
      <c r="N215" s="200">
        <v>43709</v>
      </c>
    </row>
    <row r="216" spans="1:14" x14ac:dyDescent="0.35">
      <c r="A216" s="56">
        <v>968904</v>
      </c>
      <c r="B216" s="56" t="s">
        <v>304</v>
      </c>
      <c r="C216" s="203"/>
      <c r="D216" s="203"/>
      <c r="E216" s="203">
        <v>870</v>
      </c>
      <c r="F216" s="203">
        <v>0</v>
      </c>
      <c r="G216" s="56"/>
      <c r="H216" s="203">
        <v>749.00662251655626</v>
      </c>
      <c r="I216" s="203">
        <v>749.00662251655626</v>
      </c>
      <c r="J216" s="56" t="s">
        <v>42</v>
      </c>
      <c r="K216" s="56">
        <v>3</v>
      </c>
      <c r="L216" s="56"/>
      <c r="M216" s="56"/>
      <c r="N216" s="200">
        <v>43709</v>
      </c>
    </row>
    <row r="217" spans="1:14" x14ac:dyDescent="0.35">
      <c r="A217" s="58">
        <v>969500</v>
      </c>
      <c r="B217" s="56" t="s">
        <v>392</v>
      </c>
      <c r="C217" s="203"/>
      <c r="D217" s="203"/>
      <c r="E217" s="203">
        <v>112</v>
      </c>
      <c r="F217" s="203">
        <v>0</v>
      </c>
      <c r="G217" s="56"/>
      <c r="H217" s="203">
        <v>67</v>
      </c>
      <c r="I217" s="203">
        <v>67</v>
      </c>
      <c r="J217" s="56" t="s">
        <v>42</v>
      </c>
      <c r="K217" s="56">
        <v>3</v>
      </c>
      <c r="L217" s="56"/>
      <c r="M217" s="56"/>
      <c r="N217" s="200">
        <v>43709</v>
      </c>
    </row>
    <row r="218" spans="1:14" x14ac:dyDescent="0.35">
      <c r="A218" s="56">
        <v>968900</v>
      </c>
      <c r="B218" s="56" t="s">
        <v>303</v>
      </c>
      <c r="C218" s="203"/>
      <c r="D218" s="203"/>
      <c r="E218" s="203">
        <v>2459</v>
      </c>
      <c r="F218" s="203">
        <v>0</v>
      </c>
      <c r="G218" s="56"/>
      <c r="H218" s="203">
        <v>2117.019867549669</v>
      </c>
      <c r="I218" s="203">
        <v>2117.019867549669</v>
      </c>
      <c r="J218" s="56" t="s">
        <v>42</v>
      </c>
      <c r="K218" s="56">
        <v>3</v>
      </c>
      <c r="L218" s="56"/>
      <c r="M218" s="56"/>
      <c r="N218" s="200">
        <v>43739</v>
      </c>
    </row>
    <row r="219" spans="1:14" x14ac:dyDescent="0.35">
      <c r="A219" s="56">
        <v>968900</v>
      </c>
      <c r="B219" s="56" t="s">
        <v>303</v>
      </c>
      <c r="C219" s="203"/>
      <c r="D219" s="203"/>
      <c r="E219" s="203">
        <v>4300</v>
      </c>
      <c r="F219" s="203">
        <v>0</v>
      </c>
      <c r="G219" s="56"/>
      <c r="H219" s="203">
        <v>18794.701986754968</v>
      </c>
      <c r="I219" s="203">
        <v>18794.701986754968</v>
      </c>
      <c r="J219" s="56" t="s">
        <v>42</v>
      </c>
      <c r="K219" s="56">
        <v>3</v>
      </c>
      <c r="L219" s="56"/>
      <c r="M219" s="56"/>
      <c r="N219" s="200">
        <v>43739</v>
      </c>
    </row>
    <row r="220" spans="1:14" x14ac:dyDescent="0.35">
      <c r="A220" s="56">
        <v>968900</v>
      </c>
      <c r="B220" s="56" t="s">
        <v>303</v>
      </c>
      <c r="C220" s="203"/>
      <c r="D220" s="203"/>
      <c r="E220" s="203">
        <v>417</v>
      </c>
      <c r="F220" s="203">
        <v>0</v>
      </c>
      <c r="G220" s="56"/>
      <c r="H220" s="203">
        <v>966.55629139072846</v>
      </c>
      <c r="I220" s="203">
        <v>966.55629139072846</v>
      </c>
      <c r="J220" s="56" t="s">
        <v>42</v>
      </c>
      <c r="K220" s="56">
        <v>3</v>
      </c>
      <c r="L220" s="56"/>
      <c r="M220" s="56"/>
      <c r="N220" s="200">
        <v>43739</v>
      </c>
    </row>
    <row r="221" spans="1:14" x14ac:dyDescent="0.35">
      <c r="A221" s="56">
        <v>968900</v>
      </c>
      <c r="B221" s="56" t="s">
        <v>311</v>
      </c>
      <c r="C221" s="203"/>
      <c r="D221" s="203"/>
      <c r="E221" s="203">
        <v>15200</v>
      </c>
      <c r="F221" s="203">
        <v>0</v>
      </c>
      <c r="G221" s="56"/>
      <c r="H221" s="203">
        <v>9059.6026490066233</v>
      </c>
      <c r="I221" s="203">
        <v>9059.6026490066233</v>
      </c>
      <c r="J221" s="56" t="s">
        <v>42</v>
      </c>
      <c r="K221" s="56">
        <v>3</v>
      </c>
      <c r="L221" s="56"/>
      <c r="M221" s="56"/>
      <c r="N221" s="200">
        <v>43739</v>
      </c>
    </row>
    <row r="222" spans="1:14" x14ac:dyDescent="0.35">
      <c r="A222" s="56">
        <v>968900</v>
      </c>
      <c r="B222" s="56" t="s">
        <v>312</v>
      </c>
      <c r="C222" s="203"/>
      <c r="D222" s="203"/>
      <c r="E222" s="203">
        <v>3386</v>
      </c>
      <c r="F222" s="203">
        <v>0</v>
      </c>
      <c r="G222" s="56"/>
      <c r="H222" s="203">
        <v>2915.0993377483446</v>
      </c>
      <c r="I222" s="203">
        <v>2915.0993377483446</v>
      </c>
      <c r="J222" s="56" t="s">
        <v>42</v>
      </c>
      <c r="K222" s="56">
        <v>3</v>
      </c>
      <c r="L222" s="56"/>
      <c r="M222" s="56"/>
      <c r="N222" s="200">
        <v>43739</v>
      </c>
    </row>
    <row r="223" spans="1:14" x14ac:dyDescent="0.35">
      <c r="A223" s="56">
        <v>968900</v>
      </c>
      <c r="B223" s="56" t="s">
        <v>313</v>
      </c>
      <c r="C223" s="203"/>
      <c r="D223" s="203"/>
      <c r="E223" s="203">
        <v>2800</v>
      </c>
      <c r="F223" s="203">
        <v>0</v>
      </c>
      <c r="G223" s="56"/>
      <c r="H223" s="203">
        <v>556.29139072847681</v>
      </c>
      <c r="I223" s="203">
        <v>556.29139072847681</v>
      </c>
      <c r="J223" s="56" t="s">
        <v>42</v>
      </c>
      <c r="K223" s="56">
        <v>3</v>
      </c>
      <c r="L223" s="56"/>
      <c r="M223" s="56"/>
      <c r="N223" s="200">
        <v>43739</v>
      </c>
    </row>
    <row r="224" spans="1:14" x14ac:dyDescent="0.35">
      <c r="A224" s="56">
        <v>968900</v>
      </c>
      <c r="B224" s="56" t="s">
        <v>303</v>
      </c>
      <c r="C224" s="203"/>
      <c r="D224" s="203"/>
      <c r="E224" s="203">
        <v>1637</v>
      </c>
      <c r="F224" s="203">
        <v>0</v>
      </c>
      <c r="G224" s="56"/>
      <c r="H224" s="203">
        <v>4878.4768211920527</v>
      </c>
      <c r="I224" s="203">
        <v>4878.4768211920527</v>
      </c>
      <c r="J224" s="56" t="s">
        <v>42</v>
      </c>
      <c r="K224" s="56">
        <v>3</v>
      </c>
      <c r="L224" s="56"/>
      <c r="M224" s="56"/>
      <c r="N224" s="200">
        <v>43739</v>
      </c>
    </row>
    <row r="225" spans="1:14" x14ac:dyDescent="0.35">
      <c r="A225" s="56">
        <v>968901</v>
      </c>
      <c r="B225" s="56" t="s">
        <v>314</v>
      </c>
      <c r="C225" s="203"/>
      <c r="D225" s="203"/>
      <c r="E225" s="203">
        <v>45915</v>
      </c>
      <c r="F225" s="203">
        <v>0</v>
      </c>
      <c r="G225" s="56"/>
      <c r="H225" s="203">
        <v>27366.556291390731</v>
      </c>
      <c r="I225" s="203">
        <v>27366.556291390731</v>
      </c>
      <c r="J225" s="56" t="s">
        <v>42</v>
      </c>
      <c r="K225" s="56">
        <v>3</v>
      </c>
      <c r="L225" s="56"/>
      <c r="M225" s="56"/>
      <c r="N225" s="200">
        <v>43739</v>
      </c>
    </row>
    <row r="226" spans="1:14" x14ac:dyDescent="0.35">
      <c r="A226" s="56">
        <v>968901</v>
      </c>
      <c r="B226" s="56" t="s">
        <v>315</v>
      </c>
      <c r="C226" s="203"/>
      <c r="D226" s="203"/>
      <c r="E226" s="203">
        <v>6530</v>
      </c>
      <c r="F226" s="203">
        <v>0</v>
      </c>
      <c r="G226" s="56"/>
      <c r="H226" s="203">
        <v>3892.0529801324506</v>
      </c>
      <c r="I226" s="203">
        <v>3892.0529801324506</v>
      </c>
      <c r="J226" s="56" t="s">
        <v>42</v>
      </c>
      <c r="K226" s="56">
        <v>3</v>
      </c>
      <c r="L226" s="56"/>
      <c r="M226" s="56"/>
      <c r="N226" s="200">
        <v>43739</v>
      </c>
    </row>
    <row r="227" spans="1:14" x14ac:dyDescent="0.35">
      <c r="A227" s="56">
        <v>968901</v>
      </c>
      <c r="B227" s="56" t="s">
        <v>316</v>
      </c>
      <c r="C227" s="203"/>
      <c r="D227" s="203"/>
      <c r="E227" s="203">
        <v>12505</v>
      </c>
      <c r="F227" s="203">
        <v>0</v>
      </c>
      <c r="G227" s="56"/>
      <c r="H227" s="203">
        <v>7453.3112582781459</v>
      </c>
      <c r="I227" s="203">
        <v>7453.3112582781459</v>
      </c>
      <c r="J227" s="56" t="s">
        <v>42</v>
      </c>
      <c r="K227" s="56">
        <v>3</v>
      </c>
      <c r="L227" s="56"/>
      <c r="M227" s="56"/>
      <c r="N227" s="200">
        <v>43739</v>
      </c>
    </row>
    <row r="228" spans="1:14" x14ac:dyDescent="0.35">
      <c r="A228" s="56">
        <v>968901</v>
      </c>
      <c r="B228" s="56" t="s">
        <v>317</v>
      </c>
      <c r="C228" s="203"/>
      <c r="D228" s="203"/>
      <c r="E228" s="203">
        <v>7861</v>
      </c>
      <c r="F228" s="203">
        <v>0</v>
      </c>
      <c r="G228" s="56"/>
      <c r="H228" s="203">
        <v>4685.364238410596</v>
      </c>
      <c r="I228" s="203">
        <v>4685.364238410596</v>
      </c>
      <c r="J228" s="56" t="s">
        <v>42</v>
      </c>
      <c r="K228" s="56">
        <v>3</v>
      </c>
      <c r="L228" s="56"/>
      <c r="M228" s="56"/>
      <c r="N228" s="200">
        <v>43739</v>
      </c>
    </row>
    <row r="229" spans="1:14" x14ac:dyDescent="0.35">
      <c r="A229" s="56">
        <v>968903</v>
      </c>
      <c r="B229" s="56" t="s">
        <v>321</v>
      </c>
      <c r="C229" s="203"/>
      <c r="D229" s="203"/>
      <c r="E229" s="203">
        <v>7315</v>
      </c>
      <c r="F229" s="203">
        <v>0</v>
      </c>
      <c r="G229" s="56"/>
      <c r="H229" s="203">
        <v>6297.6821192052985</v>
      </c>
      <c r="I229" s="203">
        <v>6297.6821192052985</v>
      </c>
      <c r="J229" s="56" t="s">
        <v>42</v>
      </c>
      <c r="K229" s="56">
        <v>3</v>
      </c>
      <c r="L229" s="56"/>
      <c r="M229" s="56"/>
      <c r="N229" s="200">
        <v>43739</v>
      </c>
    </row>
    <row r="230" spans="1:14" x14ac:dyDescent="0.35">
      <c r="A230" s="56">
        <v>968904</v>
      </c>
      <c r="B230" s="56" t="s">
        <v>318</v>
      </c>
      <c r="C230" s="203"/>
      <c r="D230" s="203"/>
      <c r="E230" s="203">
        <v>20174</v>
      </c>
      <c r="F230" s="203">
        <v>0</v>
      </c>
      <c r="G230" s="56"/>
      <c r="H230" s="203">
        <v>17368.344370860927</v>
      </c>
      <c r="I230" s="203">
        <v>17368.344370860927</v>
      </c>
      <c r="J230" s="56" t="s">
        <v>42</v>
      </c>
      <c r="K230" s="56">
        <v>3</v>
      </c>
      <c r="L230" s="56"/>
      <c r="M230" s="56"/>
      <c r="N230" s="200">
        <v>43739</v>
      </c>
    </row>
    <row r="231" spans="1:14" x14ac:dyDescent="0.35">
      <c r="A231" s="56">
        <v>968904</v>
      </c>
      <c r="B231" s="56" t="s">
        <v>319</v>
      </c>
      <c r="C231" s="203"/>
      <c r="D231" s="203"/>
      <c r="E231" s="203">
        <v>17967</v>
      </c>
      <c r="F231" s="203">
        <v>0</v>
      </c>
      <c r="G231" s="56"/>
      <c r="H231" s="203">
        <v>15468.278145695365</v>
      </c>
      <c r="I231" s="203">
        <v>15468.278145695365</v>
      </c>
      <c r="J231" s="56" t="s">
        <v>42</v>
      </c>
      <c r="K231" s="56">
        <v>3</v>
      </c>
      <c r="L231" s="56"/>
      <c r="M231" s="56"/>
      <c r="N231" s="200">
        <v>43739</v>
      </c>
    </row>
    <row r="232" spans="1:14" x14ac:dyDescent="0.35">
      <c r="A232" s="56">
        <v>968904</v>
      </c>
      <c r="B232" s="56" t="s">
        <v>320</v>
      </c>
      <c r="C232" s="203"/>
      <c r="D232" s="203"/>
      <c r="E232" s="203">
        <v>2110</v>
      </c>
      <c r="F232" s="203">
        <v>0</v>
      </c>
      <c r="G232" s="56"/>
      <c r="H232" s="203">
        <v>1467.2185430463576</v>
      </c>
      <c r="I232" s="203">
        <v>1467.2185430463576</v>
      </c>
      <c r="J232" s="56" t="s">
        <v>42</v>
      </c>
      <c r="K232" s="56">
        <v>3</v>
      </c>
      <c r="L232" s="56"/>
      <c r="M232" s="56"/>
      <c r="N232" s="200">
        <v>43739</v>
      </c>
    </row>
    <row r="233" spans="1:14" x14ac:dyDescent="0.35">
      <c r="A233" s="58">
        <v>969500</v>
      </c>
      <c r="B233" s="56" t="s">
        <v>392</v>
      </c>
      <c r="C233" s="203">
        <v>62</v>
      </c>
      <c r="D233" s="203">
        <v>4574</v>
      </c>
      <c r="E233" s="203">
        <v>226</v>
      </c>
      <c r="F233" s="203">
        <v>4512</v>
      </c>
      <c r="G233" s="56"/>
      <c r="H233" s="203">
        <v>67530.596026490064</v>
      </c>
      <c r="I233" s="203">
        <v>67530.596026490064</v>
      </c>
      <c r="J233" s="56" t="s">
        <v>42</v>
      </c>
      <c r="K233" s="56">
        <v>3</v>
      </c>
      <c r="L233" s="56"/>
      <c r="M233" s="56"/>
      <c r="N233" s="200">
        <v>43739</v>
      </c>
    </row>
    <row r="234" spans="1:14" x14ac:dyDescent="0.35">
      <c r="A234" s="58">
        <v>969500</v>
      </c>
      <c r="B234" s="56" t="s">
        <v>392</v>
      </c>
      <c r="C234" s="203">
        <v>4417</v>
      </c>
      <c r="D234" s="203">
        <v>1508</v>
      </c>
      <c r="E234" s="203">
        <v>185.1</v>
      </c>
      <c r="F234" s="203">
        <v>2909</v>
      </c>
      <c r="G234" s="56"/>
      <c r="H234" s="203">
        <v>35659.331125827819</v>
      </c>
      <c r="I234" s="203">
        <v>35659.331125827819</v>
      </c>
      <c r="J234" s="56" t="s">
        <v>42</v>
      </c>
      <c r="K234" s="56">
        <v>3</v>
      </c>
      <c r="L234" s="56"/>
      <c r="M234" s="56"/>
      <c r="N234" s="200">
        <v>43739</v>
      </c>
    </row>
    <row r="235" spans="1:14" x14ac:dyDescent="0.35">
      <c r="A235" s="58">
        <v>969500</v>
      </c>
      <c r="B235" s="56" t="s">
        <v>392</v>
      </c>
      <c r="C235" s="203">
        <v>4302</v>
      </c>
      <c r="D235" s="203">
        <v>4502</v>
      </c>
      <c r="E235" s="203">
        <v>223</v>
      </c>
      <c r="F235" s="203">
        <v>200</v>
      </c>
      <c r="G235" s="56"/>
      <c r="H235" s="203">
        <v>2953.6423841059604</v>
      </c>
      <c r="I235" s="203">
        <v>2953.6423841059604</v>
      </c>
      <c r="J235" s="56" t="s">
        <v>42</v>
      </c>
      <c r="K235" s="56">
        <v>3</v>
      </c>
      <c r="L235" s="56"/>
      <c r="M235" s="56"/>
      <c r="N235" s="200">
        <v>43739</v>
      </c>
    </row>
    <row r="236" spans="1:14" x14ac:dyDescent="0.35">
      <c r="A236" s="56">
        <v>968900</v>
      </c>
      <c r="B236" s="56" t="s">
        <v>327</v>
      </c>
      <c r="C236" s="203"/>
      <c r="D236" s="203"/>
      <c r="E236" s="203">
        <v>5875</v>
      </c>
      <c r="F236" s="203">
        <v>0</v>
      </c>
      <c r="G236" s="56"/>
      <c r="H236" s="203">
        <v>3384.9337748344365</v>
      </c>
      <c r="I236" s="203">
        <v>3384.9337748344365</v>
      </c>
      <c r="J236" s="56" t="s">
        <v>42</v>
      </c>
      <c r="K236" s="56">
        <v>3</v>
      </c>
      <c r="L236" s="56"/>
      <c r="M236" s="56"/>
      <c r="N236" s="200">
        <v>43770</v>
      </c>
    </row>
    <row r="237" spans="1:14" x14ac:dyDescent="0.35">
      <c r="A237" s="56">
        <v>968900</v>
      </c>
      <c r="B237" s="56" t="s">
        <v>327</v>
      </c>
      <c r="C237" s="203"/>
      <c r="D237" s="203"/>
      <c r="E237" s="203">
        <v>2735</v>
      </c>
      <c r="F237" s="203">
        <v>0</v>
      </c>
      <c r="G237" s="56"/>
      <c r="H237" s="203">
        <v>1575.7947019867547</v>
      </c>
      <c r="I237" s="203">
        <v>1575.7947019867547</v>
      </c>
      <c r="J237" s="56" t="s">
        <v>42</v>
      </c>
      <c r="K237" s="56">
        <v>3</v>
      </c>
      <c r="L237" s="56"/>
      <c r="M237" s="56"/>
      <c r="N237" s="200">
        <v>43770</v>
      </c>
    </row>
    <row r="238" spans="1:14" x14ac:dyDescent="0.35">
      <c r="A238" s="56">
        <v>968900</v>
      </c>
      <c r="B238" s="56" t="s">
        <v>342</v>
      </c>
      <c r="C238" s="203"/>
      <c r="D238" s="203"/>
      <c r="E238" s="203">
        <v>1800</v>
      </c>
      <c r="F238" s="203">
        <v>0</v>
      </c>
      <c r="G238" s="56"/>
      <c r="H238" s="203">
        <v>119.20529801324504</v>
      </c>
      <c r="I238" s="203">
        <v>119.20529801324504</v>
      </c>
      <c r="J238" s="56" t="s">
        <v>42</v>
      </c>
      <c r="K238" s="56">
        <v>3</v>
      </c>
      <c r="L238" s="56"/>
      <c r="M238" s="56"/>
      <c r="N238" s="200">
        <v>43770</v>
      </c>
    </row>
    <row r="239" spans="1:14" x14ac:dyDescent="0.35">
      <c r="A239" s="56">
        <v>968900</v>
      </c>
      <c r="B239" s="56" t="s">
        <v>328</v>
      </c>
      <c r="C239" s="203"/>
      <c r="D239" s="203"/>
      <c r="E239" s="203">
        <v>36426</v>
      </c>
      <c r="F239" s="203">
        <v>0</v>
      </c>
      <c r="G239" s="56"/>
      <c r="H239" s="203">
        <v>31360.132450331126</v>
      </c>
      <c r="I239" s="203">
        <v>31360.132450331126</v>
      </c>
      <c r="J239" s="56" t="s">
        <v>42</v>
      </c>
      <c r="K239" s="56">
        <v>3</v>
      </c>
      <c r="L239" s="56"/>
      <c r="M239" s="56"/>
      <c r="N239" s="200">
        <v>43770</v>
      </c>
    </row>
    <row r="240" spans="1:14" x14ac:dyDescent="0.35">
      <c r="A240" s="56">
        <v>968900</v>
      </c>
      <c r="B240" s="56" t="s">
        <v>329</v>
      </c>
      <c r="C240" s="203"/>
      <c r="D240" s="203"/>
      <c r="E240" s="203">
        <v>2182</v>
      </c>
      <c r="F240" s="203">
        <v>0</v>
      </c>
      <c r="G240" s="56"/>
      <c r="H240" s="203">
        <v>1878.543046357616</v>
      </c>
      <c r="I240" s="203">
        <v>1878.543046357616</v>
      </c>
      <c r="J240" s="56" t="s">
        <v>42</v>
      </c>
      <c r="K240" s="56">
        <v>3</v>
      </c>
      <c r="L240" s="56"/>
      <c r="M240" s="56"/>
      <c r="N240" s="200">
        <v>43770</v>
      </c>
    </row>
    <row r="241" spans="1:14" x14ac:dyDescent="0.35">
      <c r="A241" s="56">
        <v>968900</v>
      </c>
      <c r="B241" s="56" t="s">
        <v>330</v>
      </c>
      <c r="C241" s="203"/>
      <c r="D241" s="203"/>
      <c r="E241" s="203">
        <v>5648</v>
      </c>
      <c r="F241" s="203">
        <v>0</v>
      </c>
      <c r="G241" s="56"/>
      <c r="H241" s="203">
        <v>4862.5165562913908</v>
      </c>
      <c r="I241" s="203">
        <v>4862.5165562913908</v>
      </c>
      <c r="J241" s="56" t="s">
        <v>42</v>
      </c>
      <c r="K241" s="56">
        <v>3</v>
      </c>
      <c r="L241" s="56"/>
      <c r="M241" s="56"/>
      <c r="N241" s="200">
        <v>43770</v>
      </c>
    </row>
    <row r="242" spans="1:14" x14ac:dyDescent="0.35">
      <c r="A242" s="56">
        <v>968900</v>
      </c>
      <c r="B242" s="56" t="s">
        <v>331</v>
      </c>
      <c r="C242" s="203"/>
      <c r="D242" s="203"/>
      <c r="E242" s="203">
        <v>4516</v>
      </c>
      <c r="F242" s="203">
        <v>0</v>
      </c>
      <c r="G242" s="56"/>
      <c r="H242" s="203">
        <v>3588.8741721854303</v>
      </c>
      <c r="I242" s="203">
        <v>3588.8741721854303</v>
      </c>
      <c r="J242" s="56" t="s">
        <v>42</v>
      </c>
      <c r="K242" s="56">
        <v>3</v>
      </c>
      <c r="L242" s="56"/>
      <c r="M242" s="56"/>
      <c r="N242" s="200">
        <v>43770</v>
      </c>
    </row>
    <row r="243" spans="1:14" x14ac:dyDescent="0.35">
      <c r="A243" s="56">
        <v>968900</v>
      </c>
      <c r="B243" s="56" t="s">
        <v>327</v>
      </c>
      <c r="C243" s="203"/>
      <c r="D243" s="203"/>
      <c r="E243" s="203">
        <v>23381</v>
      </c>
      <c r="F243" s="203">
        <v>0</v>
      </c>
      <c r="G243" s="56"/>
      <c r="H243" s="203">
        <v>2012.9337748344371</v>
      </c>
      <c r="I243" s="203">
        <v>2012.9337748344371</v>
      </c>
      <c r="J243" s="56" t="s">
        <v>42</v>
      </c>
      <c r="K243" s="56">
        <v>3</v>
      </c>
      <c r="L243" s="56"/>
      <c r="M243" s="56"/>
      <c r="N243" s="200">
        <v>43770</v>
      </c>
    </row>
    <row r="244" spans="1:14" x14ac:dyDescent="0.35">
      <c r="A244" s="56">
        <v>968901</v>
      </c>
      <c r="B244" s="56" t="s">
        <v>317</v>
      </c>
      <c r="C244" s="203"/>
      <c r="D244" s="203"/>
      <c r="E244" s="203">
        <v>11150</v>
      </c>
      <c r="F244" s="203">
        <v>0</v>
      </c>
      <c r="G244" s="56"/>
      <c r="H244" s="203">
        <v>6645.6953642384105</v>
      </c>
      <c r="I244" s="203">
        <v>6645.6953642384105</v>
      </c>
      <c r="J244" s="56" t="s">
        <v>42</v>
      </c>
      <c r="K244" s="56">
        <v>3</v>
      </c>
      <c r="L244" s="56"/>
      <c r="M244" s="56"/>
      <c r="N244" s="200">
        <v>43770</v>
      </c>
    </row>
    <row r="245" spans="1:14" x14ac:dyDescent="0.35">
      <c r="A245" s="56">
        <v>968901</v>
      </c>
      <c r="B245" s="56" t="s">
        <v>332</v>
      </c>
      <c r="C245" s="203"/>
      <c r="D245" s="203"/>
      <c r="E245" s="203">
        <v>9500</v>
      </c>
      <c r="F245" s="203">
        <v>0</v>
      </c>
      <c r="G245" s="56"/>
      <c r="H245" s="203">
        <v>5662.2516556291393</v>
      </c>
      <c r="I245" s="203">
        <v>5662.2516556291393</v>
      </c>
      <c r="J245" s="56" t="s">
        <v>42</v>
      </c>
      <c r="K245" s="56">
        <v>3</v>
      </c>
      <c r="L245" s="56"/>
      <c r="M245" s="56"/>
      <c r="N245" s="200">
        <v>43770</v>
      </c>
    </row>
    <row r="246" spans="1:14" x14ac:dyDescent="0.35">
      <c r="A246" s="56">
        <v>968901</v>
      </c>
      <c r="B246" s="56" t="s">
        <v>333</v>
      </c>
      <c r="C246" s="203"/>
      <c r="D246" s="203"/>
      <c r="E246" s="203">
        <v>26271</v>
      </c>
      <c r="F246" s="203">
        <v>0</v>
      </c>
      <c r="G246" s="56"/>
      <c r="H246" s="203">
        <v>22617.417218543047</v>
      </c>
      <c r="I246" s="203">
        <v>22617.417218543047</v>
      </c>
      <c r="J246" s="56" t="s">
        <v>42</v>
      </c>
      <c r="K246" s="56">
        <v>3</v>
      </c>
      <c r="L246" s="56"/>
      <c r="M246" s="56"/>
      <c r="N246" s="200">
        <v>43770</v>
      </c>
    </row>
    <row r="247" spans="1:14" x14ac:dyDescent="0.35">
      <c r="A247" s="56">
        <v>968901</v>
      </c>
      <c r="B247" s="56" t="s">
        <v>334</v>
      </c>
      <c r="C247" s="203"/>
      <c r="D247" s="203"/>
      <c r="E247" s="203">
        <v>20280</v>
      </c>
      <c r="F247" s="203">
        <v>0</v>
      </c>
      <c r="G247" s="56"/>
      <c r="H247" s="203">
        <v>17459.602649006622</v>
      </c>
      <c r="I247" s="203">
        <v>17459.602649006622</v>
      </c>
      <c r="J247" s="56" t="s">
        <v>42</v>
      </c>
      <c r="K247" s="56">
        <v>3</v>
      </c>
      <c r="L247" s="56"/>
      <c r="M247" s="56"/>
      <c r="N247" s="200">
        <v>43770</v>
      </c>
    </row>
    <row r="248" spans="1:14" x14ac:dyDescent="0.35">
      <c r="A248" s="56">
        <v>968903</v>
      </c>
      <c r="B248" s="56" t="s">
        <v>335</v>
      </c>
      <c r="C248" s="203"/>
      <c r="D248" s="203"/>
      <c r="E248" s="203">
        <v>12555</v>
      </c>
      <c r="F248" s="203">
        <v>0</v>
      </c>
      <c r="G248" s="56"/>
      <c r="H248" s="203">
        <v>9146.026490066226</v>
      </c>
      <c r="I248" s="203">
        <v>9146.026490066226</v>
      </c>
      <c r="J248" s="56" t="s">
        <v>42</v>
      </c>
      <c r="K248" s="56">
        <v>3</v>
      </c>
      <c r="L248" s="56"/>
      <c r="M248" s="56"/>
      <c r="N248" s="200">
        <v>43770</v>
      </c>
    </row>
    <row r="249" spans="1:14" x14ac:dyDescent="0.35">
      <c r="A249" s="56">
        <v>968904</v>
      </c>
      <c r="B249" s="56" t="s">
        <v>320</v>
      </c>
      <c r="C249" s="203"/>
      <c r="D249" s="203"/>
      <c r="E249" s="203">
        <v>2480</v>
      </c>
      <c r="F249" s="203">
        <v>0</v>
      </c>
      <c r="G249" s="56"/>
      <c r="H249" s="203">
        <v>1478.1456953642385</v>
      </c>
      <c r="I249" s="203">
        <v>1478.1456953642385</v>
      </c>
      <c r="J249" s="56" t="s">
        <v>42</v>
      </c>
      <c r="K249" s="56">
        <v>3</v>
      </c>
      <c r="L249" s="56"/>
      <c r="M249" s="56"/>
      <c r="N249" s="200">
        <v>43770</v>
      </c>
    </row>
    <row r="250" spans="1:14" x14ac:dyDescent="0.35">
      <c r="A250" s="56">
        <v>968904</v>
      </c>
      <c r="B250" s="56" t="s">
        <v>336</v>
      </c>
      <c r="C250" s="203"/>
      <c r="D250" s="203"/>
      <c r="E250" s="203">
        <v>33343</v>
      </c>
      <c r="F250" s="203">
        <v>0</v>
      </c>
      <c r="G250" s="56"/>
      <c r="H250" s="203">
        <v>28705.8940397351</v>
      </c>
      <c r="I250" s="203">
        <v>28705.8940397351</v>
      </c>
      <c r="J250" s="56" t="s">
        <v>42</v>
      </c>
      <c r="K250" s="56">
        <v>3</v>
      </c>
      <c r="L250" s="56"/>
      <c r="M250" s="56"/>
      <c r="N250" s="200">
        <v>43770</v>
      </c>
    </row>
    <row r="251" spans="1:14" x14ac:dyDescent="0.35">
      <c r="A251" s="56">
        <v>968904</v>
      </c>
      <c r="B251" s="56" t="s">
        <v>337</v>
      </c>
      <c r="C251" s="203"/>
      <c r="D251" s="203"/>
      <c r="E251" s="203">
        <v>3788</v>
      </c>
      <c r="F251" s="203">
        <v>0</v>
      </c>
      <c r="G251" s="56"/>
      <c r="H251" s="203">
        <v>3261.1920529801323</v>
      </c>
      <c r="I251" s="203">
        <v>3261.1920529801323</v>
      </c>
      <c r="J251" s="56" t="s">
        <v>42</v>
      </c>
      <c r="K251" s="56">
        <v>3</v>
      </c>
      <c r="L251" s="56"/>
      <c r="M251" s="56"/>
      <c r="N251" s="200">
        <v>43770</v>
      </c>
    </row>
    <row r="252" spans="1:14" x14ac:dyDescent="0.35">
      <c r="A252" s="56">
        <v>968904</v>
      </c>
      <c r="B252" s="56" t="s">
        <v>338</v>
      </c>
      <c r="C252" s="203"/>
      <c r="D252" s="203"/>
      <c r="E252" s="203">
        <v>8782</v>
      </c>
      <c r="F252" s="203">
        <v>0</v>
      </c>
      <c r="G252" s="56"/>
      <c r="H252" s="203">
        <v>1163.17880794702</v>
      </c>
      <c r="I252" s="203">
        <v>1163.17880794702</v>
      </c>
      <c r="J252" s="56" t="s">
        <v>42</v>
      </c>
      <c r="K252" s="56">
        <v>3</v>
      </c>
      <c r="L252" s="56"/>
      <c r="M252" s="56"/>
      <c r="N252" s="200">
        <v>43770</v>
      </c>
    </row>
    <row r="253" spans="1:14" x14ac:dyDescent="0.35">
      <c r="A253" s="56">
        <v>968904</v>
      </c>
      <c r="B253" s="56" t="s">
        <v>339</v>
      </c>
      <c r="C253" s="203"/>
      <c r="D253" s="203"/>
      <c r="E253" s="203">
        <v>4800</v>
      </c>
      <c r="F253" s="203">
        <v>0</v>
      </c>
      <c r="G253" s="56"/>
      <c r="H253" s="203">
        <v>635.76158940397352</v>
      </c>
      <c r="I253" s="203">
        <v>635.76158940397352</v>
      </c>
      <c r="J253" s="56" t="s">
        <v>42</v>
      </c>
      <c r="K253" s="56">
        <v>3</v>
      </c>
      <c r="L253" s="56"/>
      <c r="M253" s="56"/>
      <c r="N253" s="200">
        <v>43770</v>
      </c>
    </row>
    <row r="254" spans="1:14" x14ac:dyDescent="0.35">
      <c r="A254" s="56">
        <v>968904</v>
      </c>
      <c r="B254" s="56" t="s">
        <v>340</v>
      </c>
      <c r="C254" s="203"/>
      <c r="D254" s="203"/>
      <c r="E254" s="203">
        <v>4600</v>
      </c>
      <c r="F254" s="203">
        <v>0</v>
      </c>
      <c r="G254" s="56"/>
      <c r="H254" s="203">
        <v>2741.7218543046356</v>
      </c>
      <c r="I254" s="203">
        <v>2741.7218543046356</v>
      </c>
      <c r="J254" s="56" t="s">
        <v>42</v>
      </c>
      <c r="K254" s="56">
        <v>3</v>
      </c>
      <c r="L254" s="56"/>
      <c r="M254" s="56"/>
      <c r="N254" s="200">
        <v>43770</v>
      </c>
    </row>
    <row r="255" spans="1:14" x14ac:dyDescent="0.35">
      <c r="A255" s="58">
        <v>969500</v>
      </c>
      <c r="B255" s="56" t="s">
        <v>386</v>
      </c>
      <c r="C255" s="203">
        <v>1508</v>
      </c>
      <c r="D255" s="203">
        <v>60</v>
      </c>
      <c r="E255" s="203">
        <v>185</v>
      </c>
      <c r="F255" s="203">
        <v>1448</v>
      </c>
      <c r="G255" s="56"/>
      <c r="H255" s="203">
        <v>17740.397350993378</v>
      </c>
      <c r="I255" s="203">
        <v>17740.397350993378</v>
      </c>
      <c r="J255" s="56" t="s">
        <v>42</v>
      </c>
      <c r="K255" s="56">
        <v>3</v>
      </c>
      <c r="L255" s="56"/>
      <c r="M255" s="56"/>
      <c r="N255" s="200">
        <v>43770</v>
      </c>
    </row>
    <row r="256" spans="1:14" x14ac:dyDescent="0.35">
      <c r="A256" s="58">
        <v>969500</v>
      </c>
      <c r="B256" s="56" t="s">
        <v>387</v>
      </c>
      <c r="C256" s="203">
        <v>0</v>
      </c>
      <c r="D256" s="203">
        <v>294</v>
      </c>
      <c r="E256" s="203">
        <v>14701</v>
      </c>
      <c r="F256" s="203">
        <v>294</v>
      </c>
      <c r="G256" s="56"/>
      <c r="H256" s="203">
        <v>8437.4185430463585</v>
      </c>
      <c r="I256" s="203">
        <v>8437.4185430463585</v>
      </c>
      <c r="J256" s="56" t="s">
        <v>42</v>
      </c>
      <c r="K256" s="56">
        <v>3</v>
      </c>
      <c r="L256" s="56"/>
      <c r="M256" s="56"/>
      <c r="N256" s="200">
        <v>43770</v>
      </c>
    </row>
    <row r="257" spans="1:14" x14ac:dyDescent="0.35">
      <c r="A257" s="58">
        <v>969500</v>
      </c>
      <c r="B257" s="56" t="s">
        <v>388</v>
      </c>
      <c r="C257" s="203">
        <v>0</v>
      </c>
      <c r="D257" s="203">
        <v>296</v>
      </c>
      <c r="E257" s="203">
        <v>14418</v>
      </c>
      <c r="F257" s="203">
        <v>296</v>
      </c>
      <c r="G257" s="56"/>
      <c r="H257" s="203">
        <v>8268.0556291390731</v>
      </c>
      <c r="I257" s="203">
        <v>8268.0556291390731</v>
      </c>
      <c r="J257" s="56" t="s">
        <v>42</v>
      </c>
      <c r="K257" s="56">
        <v>3</v>
      </c>
      <c r="L257" s="56"/>
      <c r="M257" s="56"/>
      <c r="N257" s="200">
        <v>43770</v>
      </c>
    </row>
    <row r="258" spans="1:14" x14ac:dyDescent="0.35">
      <c r="A258" s="58">
        <v>969500</v>
      </c>
      <c r="B258" s="56" t="s">
        <v>389</v>
      </c>
      <c r="C258" s="203">
        <v>0</v>
      </c>
      <c r="D258" s="203">
        <v>254</v>
      </c>
      <c r="E258" s="203">
        <v>11705</v>
      </c>
      <c r="F258" s="203">
        <v>254</v>
      </c>
      <c r="G258" s="56"/>
      <c r="H258" s="203">
        <v>6699.8662251655624</v>
      </c>
      <c r="I258" s="203">
        <v>6699.8662251655624</v>
      </c>
      <c r="J258" s="56" t="s">
        <v>42</v>
      </c>
      <c r="K258" s="56">
        <v>3</v>
      </c>
      <c r="L258" s="56"/>
      <c r="M258" s="56"/>
      <c r="N258" s="200">
        <v>43770</v>
      </c>
    </row>
    <row r="259" spans="1:14" x14ac:dyDescent="0.35">
      <c r="A259" s="58">
        <v>969500</v>
      </c>
      <c r="B259" s="56" t="s">
        <v>370</v>
      </c>
      <c r="C259" s="203">
        <v>0</v>
      </c>
      <c r="D259" s="203">
        <v>142</v>
      </c>
      <c r="E259" s="203">
        <v>6770</v>
      </c>
      <c r="F259" s="203">
        <v>142</v>
      </c>
      <c r="G259" s="56"/>
      <c r="H259" s="203">
        <v>3879.5523178807948</v>
      </c>
      <c r="I259" s="203">
        <v>3879.5523178807948</v>
      </c>
      <c r="J259" s="56" t="s">
        <v>42</v>
      </c>
      <c r="K259" s="56">
        <v>3</v>
      </c>
      <c r="L259" s="56"/>
      <c r="M259" s="56"/>
      <c r="N259" s="200">
        <v>43770</v>
      </c>
    </row>
    <row r="260" spans="1:14" x14ac:dyDescent="0.35">
      <c r="A260" s="58">
        <v>969500</v>
      </c>
      <c r="B260" s="56" t="s">
        <v>390</v>
      </c>
      <c r="C260" s="203">
        <v>0</v>
      </c>
      <c r="D260" s="203">
        <v>244</v>
      </c>
      <c r="E260" s="203">
        <v>11325</v>
      </c>
      <c r="F260" s="203">
        <v>244</v>
      </c>
      <c r="G260" s="56"/>
      <c r="H260" s="203">
        <v>6483.9456953642384</v>
      </c>
      <c r="I260" s="203">
        <v>6483.9456953642384</v>
      </c>
      <c r="J260" s="56" t="s">
        <v>42</v>
      </c>
      <c r="K260" s="56">
        <v>3</v>
      </c>
      <c r="L260" s="56"/>
      <c r="M260" s="56"/>
      <c r="N260" s="200">
        <v>43770</v>
      </c>
    </row>
    <row r="261" spans="1:14" x14ac:dyDescent="0.35">
      <c r="A261" s="58">
        <v>969500</v>
      </c>
      <c r="B261" s="56" t="s">
        <v>391</v>
      </c>
      <c r="C261" s="203">
        <v>0</v>
      </c>
      <c r="D261" s="203">
        <v>228</v>
      </c>
      <c r="E261" s="203">
        <v>10704</v>
      </c>
      <c r="F261" s="203">
        <v>228</v>
      </c>
      <c r="G261" s="56"/>
      <c r="H261" s="203">
        <v>6130.7761589403972</v>
      </c>
      <c r="I261" s="203">
        <v>6130.7761589403972</v>
      </c>
      <c r="J261" s="56" t="s">
        <v>42</v>
      </c>
      <c r="K261" s="56">
        <v>3</v>
      </c>
      <c r="L261" s="56"/>
      <c r="M261" s="56"/>
      <c r="N261" s="200">
        <v>43770</v>
      </c>
    </row>
    <row r="262" spans="1:14" x14ac:dyDescent="0.35">
      <c r="A262" s="56">
        <v>968900</v>
      </c>
      <c r="B262" s="56" t="s">
        <v>343</v>
      </c>
      <c r="C262" s="203"/>
      <c r="D262" s="203"/>
      <c r="E262" s="203">
        <v>2483</v>
      </c>
      <c r="F262" s="203">
        <v>0</v>
      </c>
      <c r="G262" s="56"/>
      <c r="H262" s="203">
        <v>1973.2450331125829</v>
      </c>
      <c r="I262" s="203">
        <v>1973.2450331125829</v>
      </c>
      <c r="J262" s="56" t="s">
        <v>42</v>
      </c>
      <c r="K262" s="56">
        <v>3</v>
      </c>
      <c r="L262" s="56"/>
      <c r="M262" s="56"/>
      <c r="N262" s="200">
        <v>43800</v>
      </c>
    </row>
    <row r="263" spans="1:14" x14ac:dyDescent="0.35">
      <c r="A263" s="56">
        <v>968900</v>
      </c>
      <c r="B263" s="56" t="s">
        <v>344</v>
      </c>
      <c r="C263" s="203"/>
      <c r="D263" s="203"/>
      <c r="E263" s="203">
        <v>3527</v>
      </c>
      <c r="F263" s="203">
        <v>0</v>
      </c>
      <c r="G263" s="56"/>
      <c r="H263" s="203">
        <v>2802.9139072847684</v>
      </c>
      <c r="I263" s="203">
        <v>2802.9139072847684</v>
      </c>
      <c r="J263" s="56" t="s">
        <v>42</v>
      </c>
      <c r="K263" s="56">
        <v>3</v>
      </c>
      <c r="L263" s="56"/>
      <c r="M263" s="56"/>
      <c r="N263" s="200">
        <v>43800</v>
      </c>
    </row>
    <row r="264" spans="1:14" x14ac:dyDescent="0.35">
      <c r="A264" s="56">
        <v>968900</v>
      </c>
      <c r="B264" s="56" t="s">
        <v>343</v>
      </c>
      <c r="C264" s="203"/>
      <c r="D264" s="203"/>
      <c r="E264" s="203">
        <v>1468</v>
      </c>
      <c r="F264" s="203">
        <v>0</v>
      </c>
      <c r="G264" s="56"/>
      <c r="H264" s="203">
        <v>1166.6225165562914</v>
      </c>
      <c r="I264" s="203">
        <v>1166.6225165562914</v>
      </c>
      <c r="J264" s="56" t="s">
        <v>42</v>
      </c>
      <c r="K264" s="56">
        <v>3</v>
      </c>
      <c r="L264" s="56"/>
      <c r="M264" s="56"/>
      <c r="N264" s="200">
        <v>43800</v>
      </c>
    </row>
    <row r="265" spans="1:14" x14ac:dyDescent="0.35">
      <c r="A265" s="56">
        <v>968900</v>
      </c>
      <c r="B265" s="56" t="s">
        <v>263</v>
      </c>
      <c r="C265" s="203"/>
      <c r="D265" s="203"/>
      <c r="E265" s="203">
        <v>4803</v>
      </c>
      <c r="F265" s="203">
        <v>0</v>
      </c>
      <c r="G265" s="56"/>
      <c r="H265" s="203">
        <v>3816.9536423841059</v>
      </c>
      <c r="I265" s="203">
        <v>3816.9536423841059</v>
      </c>
      <c r="J265" s="56" t="s">
        <v>42</v>
      </c>
      <c r="K265" s="56">
        <v>3</v>
      </c>
      <c r="L265" s="56"/>
      <c r="M265" s="56"/>
      <c r="N265" s="200">
        <v>43800</v>
      </c>
    </row>
    <row r="266" spans="1:14" x14ac:dyDescent="0.35">
      <c r="A266" s="56">
        <v>968900</v>
      </c>
      <c r="B266" s="56" t="s">
        <v>263</v>
      </c>
      <c r="C266" s="203"/>
      <c r="D266" s="203"/>
      <c r="E266" s="203">
        <v>1447</v>
      </c>
      <c r="F266" s="203">
        <v>0</v>
      </c>
      <c r="G266" s="56"/>
      <c r="H266" s="203">
        <v>95.827814569536429</v>
      </c>
      <c r="I266" s="203">
        <v>95.827814569536429</v>
      </c>
      <c r="J266" s="56" t="s">
        <v>42</v>
      </c>
      <c r="K266" s="56">
        <v>3</v>
      </c>
      <c r="L266" s="56"/>
      <c r="M266" s="56"/>
      <c r="N266" s="200">
        <v>43800</v>
      </c>
    </row>
    <row r="267" spans="1:14" x14ac:dyDescent="0.35">
      <c r="A267" s="56">
        <v>968900</v>
      </c>
      <c r="B267" s="56" t="s">
        <v>345</v>
      </c>
      <c r="C267" s="203"/>
      <c r="D267" s="203"/>
      <c r="E267" s="203">
        <v>11316</v>
      </c>
      <c r="F267" s="203">
        <v>0</v>
      </c>
      <c r="G267" s="56"/>
      <c r="H267" s="203">
        <v>8992.8476821192053</v>
      </c>
      <c r="I267" s="203">
        <v>8992.8476821192053</v>
      </c>
      <c r="J267" s="56" t="s">
        <v>42</v>
      </c>
      <c r="K267" s="56">
        <v>3</v>
      </c>
      <c r="L267" s="56"/>
      <c r="M267" s="56"/>
      <c r="N267" s="200">
        <v>43800</v>
      </c>
    </row>
    <row r="268" spans="1:14" x14ac:dyDescent="0.35">
      <c r="A268" s="56">
        <v>968900</v>
      </c>
      <c r="B268" s="56" t="s">
        <v>345</v>
      </c>
      <c r="C268" s="203"/>
      <c r="D268" s="203"/>
      <c r="E268" s="203">
        <v>125</v>
      </c>
      <c r="F268" s="203">
        <v>0</v>
      </c>
      <c r="G268" s="56"/>
      <c r="H268" s="203">
        <v>99.337748344370866</v>
      </c>
      <c r="I268" s="203">
        <v>99.337748344370866</v>
      </c>
      <c r="J268" s="56" t="s">
        <v>42</v>
      </c>
      <c r="K268" s="56">
        <v>3</v>
      </c>
      <c r="L268" s="56"/>
      <c r="M268" s="56"/>
      <c r="N268" s="200">
        <v>43800</v>
      </c>
    </row>
    <row r="269" spans="1:14" x14ac:dyDescent="0.35">
      <c r="A269" s="56">
        <v>968901</v>
      </c>
      <c r="B269" s="56" t="s">
        <v>346</v>
      </c>
      <c r="C269" s="203"/>
      <c r="D269" s="203"/>
      <c r="E269" s="203">
        <v>12400</v>
      </c>
      <c r="F269" s="203">
        <v>0</v>
      </c>
      <c r="G269" s="56"/>
      <c r="H269" s="203">
        <v>10675.496688741721</v>
      </c>
      <c r="I269" s="203">
        <v>10675.496688741721</v>
      </c>
      <c r="J269" s="56" t="s">
        <v>42</v>
      </c>
      <c r="K269" s="56">
        <v>3</v>
      </c>
      <c r="L269" s="56"/>
      <c r="M269" s="56"/>
      <c r="N269" s="200">
        <v>43800</v>
      </c>
    </row>
    <row r="270" spans="1:14" x14ac:dyDescent="0.35">
      <c r="A270" s="56">
        <v>968901</v>
      </c>
      <c r="B270" s="56" t="s">
        <v>347</v>
      </c>
      <c r="C270" s="203"/>
      <c r="D270" s="203"/>
      <c r="E270" s="203">
        <v>27072</v>
      </c>
      <c r="F270" s="203">
        <v>0</v>
      </c>
      <c r="G270" s="56"/>
      <c r="H270" s="203">
        <v>23307.019867549669</v>
      </c>
      <c r="I270" s="203">
        <v>23307.019867549669</v>
      </c>
      <c r="J270" s="56" t="s">
        <v>42</v>
      </c>
      <c r="K270" s="56">
        <v>3</v>
      </c>
      <c r="L270" s="56"/>
      <c r="M270" s="56"/>
      <c r="N270" s="200">
        <v>43800</v>
      </c>
    </row>
    <row r="271" spans="1:14" x14ac:dyDescent="0.35">
      <c r="A271" s="56">
        <v>968901</v>
      </c>
      <c r="B271" s="56" t="s">
        <v>348</v>
      </c>
      <c r="C271" s="203"/>
      <c r="D271" s="203"/>
      <c r="E271" s="203">
        <v>6586</v>
      </c>
      <c r="F271" s="203">
        <v>0</v>
      </c>
      <c r="G271" s="56"/>
      <c r="H271" s="203">
        <v>5670.0662251655631</v>
      </c>
      <c r="I271" s="203">
        <v>5670.0662251655631</v>
      </c>
      <c r="J271" s="56" t="s">
        <v>42</v>
      </c>
      <c r="K271" s="56">
        <v>3</v>
      </c>
      <c r="L271" s="56"/>
      <c r="M271" s="56"/>
      <c r="N271" s="200">
        <v>43800</v>
      </c>
    </row>
    <row r="272" spans="1:14" x14ac:dyDescent="0.35">
      <c r="A272" s="56">
        <v>968901</v>
      </c>
      <c r="B272" s="56" t="s">
        <v>349</v>
      </c>
      <c r="C272" s="203"/>
      <c r="D272" s="203"/>
      <c r="E272" s="203">
        <v>17500</v>
      </c>
      <c r="F272" s="203">
        <v>0</v>
      </c>
      <c r="G272" s="56"/>
      <c r="H272" s="203">
        <v>3476.8211920529802</v>
      </c>
      <c r="I272" s="203">
        <v>3476.8211920529802</v>
      </c>
      <c r="J272" s="56" t="s">
        <v>42</v>
      </c>
      <c r="K272" s="56">
        <v>3</v>
      </c>
      <c r="L272" s="56"/>
      <c r="M272" s="56"/>
      <c r="N272" s="200">
        <v>43800</v>
      </c>
    </row>
    <row r="273" spans="1:14" x14ac:dyDescent="0.35">
      <c r="A273" s="56">
        <v>968901</v>
      </c>
      <c r="B273" s="56" t="s">
        <v>350</v>
      </c>
      <c r="C273" s="203"/>
      <c r="D273" s="203"/>
      <c r="E273" s="203">
        <v>2360</v>
      </c>
      <c r="F273" s="203">
        <v>0</v>
      </c>
      <c r="G273" s="56"/>
      <c r="H273" s="203">
        <v>234.43708609271525</v>
      </c>
      <c r="I273" s="203">
        <v>234.43708609271525</v>
      </c>
      <c r="J273" s="56" t="s">
        <v>42</v>
      </c>
      <c r="K273" s="56">
        <v>3</v>
      </c>
      <c r="L273" s="56"/>
      <c r="M273" s="56"/>
      <c r="N273" s="200">
        <v>43800</v>
      </c>
    </row>
    <row r="274" spans="1:14" x14ac:dyDescent="0.35">
      <c r="A274" s="56">
        <v>968901</v>
      </c>
      <c r="B274" s="56" t="s">
        <v>351</v>
      </c>
      <c r="C274" s="203"/>
      <c r="D274" s="203"/>
      <c r="E274" s="203">
        <v>1785</v>
      </c>
      <c r="F274" s="203">
        <v>0</v>
      </c>
      <c r="G274" s="56"/>
      <c r="H274" s="203">
        <v>177.31788079470198</v>
      </c>
      <c r="I274" s="203">
        <v>177.31788079470198</v>
      </c>
      <c r="J274" s="56" t="s">
        <v>42</v>
      </c>
      <c r="K274" s="56">
        <v>3</v>
      </c>
      <c r="L274" s="56"/>
      <c r="M274" s="56"/>
      <c r="N274" s="200">
        <v>43800</v>
      </c>
    </row>
    <row r="275" spans="1:14" x14ac:dyDescent="0.35">
      <c r="A275" s="56">
        <v>968901</v>
      </c>
      <c r="B275" s="56" t="s">
        <v>352</v>
      </c>
      <c r="C275" s="203"/>
      <c r="D275" s="203"/>
      <c r="E275" s="203">
        <v>4140</v>
      </c>
      <c r="F275" s="203">
        <v>0</v>
      </c>
      <c r="G275" s="56"/>
      <c r="H275" s="203">
        <v>411.25827814569539</v>
      </c>
      <c r="I275" s="203">
        <v>411.25827814569539</v>
      </c>
      <c r="J275" s="56" t="s">
        <v>42</v>
      </c>
      <c r="K275" s="56">
        <v>3</v>
      </c>
      <c r="L275" s="56"/>
      <c r="M275" s="56"/>
      <c r="N275" s="200">
        <v>43800</v>
      </c>
    </row>
    <row r="276" spans="1:14" x14ac:dyDescent="0.35">
      <c r="A276" s="56">
        <v>968901</v>
      </c>
      <c r="B276" s="56" t="s">
        <v>362</v>
      </c>
      <c r="C276" s="203"/>
      <c r="D276" s="203"/>
      <c r="E276" s="203">
        <v>2905</v>
      </c>
      <c r="F276" s="203">
        <v>0</v>
      </c>
      <c r="G276" s="56"/>
      <c r="H276" s="203">
        <v>288.57615894039736</v>
      </c>
      <c r="I276" s="203">
        <v>288.57615894039736</v>
      </c>
      <c r="J276" s="56" t="s">
        <v>42</v>
      </c>
      <c r="K276" s="56">
        <v>3</v>
      </c>
      <c r="L276" s="56"/>
      <c r="M276" s="56"/>
      <c r="N276" s="200">
        <v>43800</v>
      </c>
    </row>
    <row r="277" spans="1:14" x14ac:dyDescent="0.35">
      <c r="A277" s="56">
        <v>968901</v>
      </c>
      <c r="B277" s="56" t="s">
        <v>353</v>
      </c>
      <c r="C277" s="203"/>
      <c r="D277" s="203"/>
      <c r="E277" s="203">
        <v>2116</v>
      </c>
      <c r="F277" s="203">
        <v>0</v>
      </c>
      <c r="G277" s="56"/>
      <c r="H277" s="203">
        <v>1821.7218543046358</v>
      </c>
      <c r="I277" s="203">
        <v>1821.7218543046358</v>
      </c>
      <c r="J277" s="56" t="s">
        <v>42</v>
      </c>
      <c r="K277" s="56">
        <v>3</v>
      </c>
      <c r="L277" s="56"/>
      <c r="M277" s="56"/>
      <c r="N277" s="200">
        <v>43800</v>
      </c>
    </row>
    <row r="278" spans="1:14" x14ac:dyDescent="0.35">
      <c r="A278" s="56">
        <v>968903</v>
      </c>
      <c r="B278" s="56" t="s">
        <v>335</v>
      </c>
      <c r="C278" s="203"/>
      <c r="D278" s="203"/>
      <c r="E278" s="203">
        <v>1084</v>
      </c>
      <c r="F278" s="203">
        <v>0</v>
      </c>
      <c r="G278" s="56"/>
      <c r="H278" s="203">
        <v>861.45695364238418</v>
      </c>
      <c r="I278" s="203">
        <v>861.45695364238418</v>
      </c>
      <c r="J278" s="56" t="s">
        <v>42</v>
      </c>
      <c r="K278" s="56">
        <v>3</v>
      </c>
      <c r="L278" s="56"/>
      <c r="M278" s="56"/>
      <c r="N278" s="200">
        <v>43800</v>
      </c>
    </row>
    <row r="279" spans="1:14" x14ac:dyDescent="0.35">
      <c r="A279" s="56">
        <v>968903</v>
      </c>
      <c r="B279" s="56" t="s">
        <v>335</v>
      </c>
      <c r="C279" s="203"/>
      <c r="D279" s="203"/>
      <c r="E279" s="203">
        <v>915</v>
      </c>
      <c r="F279" s="203">
        <v>0</v>
      </c>
      <c r="G279" s="56"/>
      <c r="H279" s="203">
        <v>727.15231788079473</v>
      </c>
      <c r="I279" s="203">
        <v>727.15231788079473</v>
      </c>
      <c r="J279" s="56" t="s">
        <v>42</v>
      </c>
      <c r="K279" s="56">
        <v>3</v>
      </c>
      <c r="L279" s="56"/>
      <c r="M279" s="56"/>
      <c r="N279" s="200">
        <v>43800</v>
      </c>
    </row>
    <row r="280" spans="1:14" x14ac:dyDescent="0.35">
      <c r="A280" s="56">
        <v>968903</v>
      </c>
      <c r="B280" s="56" t="s">
        <v>335</v>
      </c>
      <c r="C280" s="203"/>
      <c r="D280" s="203"/>
      <c r="E280" s="203">
        <v>526</v>
      </c>
      <c r="F280" s="203">
        <v>0</v>
      </c>
      <c r="G280" s="56"/>
      <c r="H280" s="203">
        <v>2647.4172185430466</v>
      </c>
      <c r="I280" s="203">
        <v>2647.4172185430466</v>
      </c>
      <c r="J280" s="56" t="s">
        <v>42</v>
      </c>
      <c r="K280" s="56">
        <v>3</v>
      </c>
      <c r="L280" s="56"/>
      <c r="M280" s="56"/>
      <c r="N280" s="200">
        <v>43800</v>
      </c>
    </row>
    <row r="281" spans="1:14" x14ac:dyDescent="0.35">
      <c r="A281" s="56">
        <v>968903</v>
      </c>
      <c r="B281" s="56" t="s">
        <v>335</v>
      </c>
      <c r="C281" s="203"/>
      <c r="D281" s="203"/>
      <c r="E281" s="203">
        <v>68</v>
      </c>
      <c r="F281" s="203">
        <v>0</v>
      </c>
      <c r="G281" s="56"/>
      <c r="H281" s="203">
        <v>218.41059602649008</v>
      </c>
      <c r="I281" s="203">
        <v>218.41059602649008</v>
      </c>
      <c r="J281" s="56" t="s">
        <v>42</v>
      </c>
      <c r="K281" s="56">
        <v>3</v>
      </c>
      <c r="L281" s="56"/>
      <c r="M281" s="56"/>
      <c r="N281" s="200">
        <v>43800</v>
      </c>
    </row>
    <row r="282" spans="1:14" x14ac:dyDescent="0.35">
      <c r="A282" s="56">
        <v>968903</v>
      </c>
      <c r="B282" s="56" t="s">
        <v>335</v>
      </c>
      <c r="C282" s="203"/>
      <c r="D282" s="203"/>
      <c r="E282" s="203">
        <v>514</v>
      </c>
      <c r="F282" s="203">
        <v>0</v>
      </c>
      <c r="G282" s="56"/>
      <c r="H282" s="203">
        <v>1480.7284768211921</v>
      </c>
      <c r="I282" s="203">
        <v>1480.7284768211921</v>
      </c>
      <c r="J282" s="56" t="s">
        <v>42</v>
      </c>
      <c r="K282" s="56">
        <v>3</v>
      </c>
      <c r="L282" s="56"/>
      <c r="M282" s="56"/>
      <c r="N282" s="200">
        <v>43800</v>
      </c>
    </row>
    <row r="283" spans="1:14" x14ac:dyDescent="0.35">
      <c r="A283" s="56">
        <v>968903</v>
      </c>
      <c r="B283" s="56" t="s">
        <v>335</v>
      </c>
      <c r="C283" s="203"/>
      <c r="D283" s="203"/>
      <c r="E283" s="203">
        <v>302</v>
      </c>
      <c r="F283" s="203">
        <v>0</v>
      </c>
      <c r="G283" s="56"/>
      <c r="H283" s="203">
        <v>870</v>
      </c>
      <c r="I283" s="203">
        <v>870</v>
      </c>
      <c r="J283" s="56" t="s">
        <v>42</v>
      </c>
      <c r="K283" s="56">
        <v>3</v>
      </c>
      <c r="L283" s="56"/>
      <c r="M283" s="56"/>
      <c r="N283" s="200">
        <v>43800</v>
      </c>
    </row>
    <row r="284" spans="1:14" x14ac:dyDescent="0.35">
      <c r="A284" s="56">
        <v>968904</v>
      </c>
      <c r="B284" s="56" t="s">
        <v>340</v>
      </c>
      <c r="C284" s="203"/>
      <c r="D284" s="203"/>
      <c r="E284" s="203">
        <v>6634</v>
      </c>
      <c r="F284" s="203">
        <v>0</v>
      </c>
      <c r="G284" s="56"/>
      <c r="H284" s="203">
        <v>3954.039735099338</v>
      </c>
      <c r="I284" s="203">
        <v>3954.039735099338</v>
      </c>
      <c r="J284" s="56" t="s">
        <v>42</v>
      </c>
      <c r="K284" s="56">
        <v>3</v>
      </c>
      <c r="L284" s="56"/>
      <c r="M284" s="56"/>
      <c r="N284" s="200">
        <v>43800</v>
      </c>
    </row>
    <row r="285" spans="1:14" x14ac:dyDescent="0.35">
      <c r="A285" s="56">
        <v>968904</v>
      </c>
      <c r="B285" s="56" t="s">
        <v>354</v>
      </c>
      <c r="C285" s="203"/>
      <c r="D285" s="203"/>
      <c r="E285" s="203">
        <v>1185</v>
      </c>
      <c r="F285" s="203">
        <v>0</v>
      </c>
      <c r="G285" s="56"/>
      <c r="H285" s="203">
        <v>1020.1986754966888</v>
      </c>
      <c r="I285" s="203">
        <v>1020.1986754966888</v>
      </c>
      <c r="J285" s="56" t="s">
        <v>42</v>
      </c>
      <c r="K285" s="56">
        <v>3</v>
      </c>
      <c r="L285" s="56"/>
      <c r="M285" s="56"/>
      <c r="N285" s="200">
        <v>43800</v>
      </c>
    </row>
    <row r="286" spans="1:14" x14ac:dyDescent="0.35">
      <c r="A286" s="56">
        <v>968904</v>
      </c>
      <c r="B286" s="56" t="s">
        <v>356</v>
      </c>
      <c r="C286" s="203"/>
      <c r="D286" s="203"/>
      <c r="E286" s="203">
        <v>4515</v>
      </c>
      <c r="F286" s="203">
        <v>0</v>
      </c>
      <c r="G286" s="56"/>
      <c r="H286" s="203">
        <v>3887.0860927152321</v>
      </c>
      <c r="I286" s="203">
        <v>3887.0860927152321</v>
      </c>
      <c r="J286" s="56" t="s">
        <v>42</v>
      </c>
      <c r="K286" s="56">
        <v>3</v>
      </c>
      <c r="L286" s="56"/>
      <c r="M286" s="56"/>
      <c r="N286" s="200">
        <v>43800</v>
      </c>
    </row>
    <row r="287" spans="1:14" x14ac:dyDescent="0.35">
      <c r="A287" s="56">
        <v>968904</v>
      </c>
      <c r="B287" s="56" t="s">
        <v>363</v>
      </c>
      <c r="C287" s="203"/>
      <c r="D287" s="203"/>
      <c r="E287" s="203">
        <v>12576</v>
      </c>
      <c r="F287" s="203">
        <v>0</v>
      </c>
      <c r="G287" s="56"/>
      <c r="H287" s="203">
        <v>10827.019867549669</v>
      </c>
      <c r="I287" s="203">
        <v>10827.019867549669</v>
      </c>
      <c r="J287" s="56" t="s">
        <v>42</v>
      </c>
      <c r="K287" s="56">
        <v>3</v>
      </c>
      <c r="L287" s="56"/>
      <c r="M287" s="56"/>
      <c r="N287" s="200">
        <v>43800</v>
      </c>
    </row>
    <row r="288" spans="1:14" x14ac:dyDescent="0.35">
      <c r="A288" s="56">
        <v>968904</v>
      </c>
      <c r="B288" s="56" t="s">
        <v>355</v>
      </c>
      <c r="C288" s="203"/>
      <c r="D288" s="203"/>
      <c r="E288" s="203">
        <v>3075</v>
      </c>
      <c r="F288" s="203">
        <v>0</v>
      </c>
      <c r="G288" s="56"/>
      <c r="H288" s="203">
        <v>1120.0331125827815</v>
      </c>
      <c r="I288" s="203">
        <v>1120.0331125827815</v>
      </c>
      <c r="J288" s="56" t="s">
        <v>42</v>
      </c>
      <c r="K288" s="56">
        <v>3</v>
      </c>
      <c r="L288" s="56"/>
      <c r="M288" s="56"/>
      <c r="N288" s="200">
        <v>43800</v>
      </c>
    </row>
    <row r="289" spans="1:14" x14ac:dyDescent="0.35">
      <c r="A289" s="56">
        <v>968904</v>
      </c>
      <c r="B289" s="56" t="s">
        <v>357</v>
      </c>
      <c r="C289" s="203"/>
      <c r="D289" s="203"/>
      <c r="E289" s="203">
        <v>1195</v>
      </c>
      <c r="F289" s="203">
        <v>0</v>
      </c>
      <c r="G289" s="56"/>
      <c r="H289" s="203">
        <v>1028.8079470198675</v>
      </c>
      <c r="I289" s="203">
        <v>1028.8079470198675</v>
      </c>
      <c r="J289" s="56" t="s">
        <v>42</v>
      </c>
      <c r="K289" s="56">
        <v>3</v>
      </c>
      <c r="L289" s="56"/>
      <c r="M289" s="56"/>
      <c r="N289" s="200">
        <v>43800</v>
      </c>
    </row>
    <row r="290" spans="1:14" x14ac:dyDescent="0.35">
      <c r="A290" s="56">
        <v>968904</v>
      </c>
      <c r="B290" s="56" t="s">
        <v>357</v>
      </c>
      <c r="C290" s="203"/>
      <c r="D290" s="203"/>
      <c r="E290" s="203">
        <v>684</v>
      </c>
      <c r="F290" s="203">
        <v>0</v>
      </c>
      <c r="G290" s="56"/>
      <c r="H290" s="203">
        <v>543.57615894039736</v>
      </c>
      <c r="I290" s="203">
        <v>543.57615894039736</v>
      </c>
      <c r="J290" s="56" t="s">
        <v>42</v>
      </c>
      <c r="K290" s="56">
        <v>3</v>
      </c>
      <c r="L290" s="56"/>
      <c r="M290" s="56"/>
      <c r="N290" s="200">
        <v>43800</v>
      </c>
    </row>
    <row r="291" spans="1:14" x14ac:dyDescent="0.35">
      <c r="A291" s="56">
        <v>968904</v>
      </c>
      <c r="B291" s="56" t="s">
        <v>358</v>
      </c>
      <c r="C291" s="203"/>
      <c r="D291" s="203"/>
      <c r="E291" s="203">
        <v>7060</v>
      </c>
      <c r="F291" s="203">
        <v>0</v>
      </c>
      <c r="G291" s="56"/>
      <c r="H291" s="203">
        <v>6078.1456953642382</v>
      </c>
      <c r="I291" s="203">
        <v>6078.1456953642382</v>
      </c>
      <c r="J291" s="56" t="s">
        <v>42</v>
      </c>
      <c r="K291" s="56">
        <v>3</v>
      </c>
      <c r="L291" s="56"/>
      <c r="M291" s="56"/>
      <c r="N291" s="200">
        <v>43800</v>
      </c>
    </row>
    <row r="292" spans="1:14" x14ac:dyDescent="0.35">
      <c r="A292" s="56">
        <v>969500</v>
      </c>
      <c r="B292" s="56" t="s">
        <v>381</v>
      </c>
      <c r="C292" s="203">
        <v>0</v>
      </c>
      <c r="D292" s="203">
        <v>4087</v>
      </c>
      <c r="E292" s="203">
        <v>400.6</v>
      </c>
      <c r="F292" s="203">
        <v>4087</v>
      </c>
      <c r="G292" s="56"/>
      <c r="H292" s="203">
        <v>108427.29801324505</v>
      </c>
      <c r="I292" s="203">
        <v>108427.29801324505</v>
      </c>
      <c r="J292" s="56" t="s">
        <v>42</v>
      </c>
      <c r="K292" s="56">
        <v>3</v>
      </c>
      <c r="L292" s="56"/>
      <c r="M292" s="56"/>
      <c r="N292" s="200">
        <v>43800</v>
      </c>
    </row>
    <row r="293" spans="1:14" x14ac:dyDescent="0.35">
      <c r="A293" s="56">
        <v>969500</v>
      </c>
      <c r="B293" s="56" t="s">
        <v>382</v>
      </c>
      <c r="C293" s="203">
        <v>4087</v>
      </c>
      <c r="D293" s="203">
        <v>4177</v>
      </c>
      <c r="E293" s="203">
        <v>226</v>
      </c>
      <c r="F293" s="203">
        <v>90</v>
      </c>
      <c r="G293" s="56"/>
      <c r="H293" s="203">
        <v>1347.019867549669</v>
      </c>
      <c r="I293" s="203">
        <v>1347.019867549669</v>
      </c>
      <c r="J293" s="56" t="s">
        <v>42</v>
      </c>
      <c r="K293" s="56">
        <v>3</v>
      </c>
      <c r="L293" s="56"/>
      <c r="M293" s="56"/>
      <c r="N293" s="200">
        <v>43800</v>
      </c>
    </row>
    <row r="294" spans="1:14" x14ac:dyDescent="0.35">
      <c r="A294" s="56">
        <v>969500</v>
      </c>
      <c r="B294" s="56" t="s">
        <v>383</v>
      </c>
      <c r="C294" s="203">
        <v>4177</v>
      </c>
      <c r="D294" s="203">
        <v>4234</v>
      </c>
      <c r="E294" s="203">
        <v>254.5</v>
      </c>
      <c r="F294" s="203">
        <v>57</v>
      </c>
      <c r="G294" s="56"/>
      <c r="H294" s="203">
        <v>960.69536423841066</v>
      </c>
      <c r="I294" s="203">
        <v>960.69536423841066</v>
      </c>
      <c r="J294" s="56" t="s">
        <v>42</v>
      </c>
      <c r="K294" s="56">
        <v>3</v>
      </c>
      <c r="L294" s="56"/>
      <c r="M294" s="56"/>
      <c r="N294" s="200">
        <v>43800</v>
      </c>
    </row>
    <row r="295" spans="1:14" x14ac:dyDescent="0.35">
      <c r="A295" s="56">
        <v>969500</v>
      </c>
      <c r="B295" s="56" t="s">
        <v>359</v>
      </c>
      <c r="C295" s="203">
        <v>0</v>
      </c>
      <c r="D295" s="203">
        <v>1556</v>
      </c>
      <c r="E295" s="203">
        <v>226</v>
      </c>
      <c r="F295" s="203">
        <v>1556</v>
      </c>
      <c r="G295" s="56"/>
      <c r="H295" s="203">
        <v>23288.476821192053</v>
      </c>
      <c r="I295" s="203">
        <v>23288.476821192053</v>
      </c>
      <c r="J295" s="56" t="s">
        <v>42</v>
      </c>
      <c r="K295" s="56">
        <v>3</v>
      </c>
      <c r="L295" s="56"/>
      <c r="M295" s="56"/>
      <c r="N295" s="200">
        <v>43800</v>
      </c>
    </row>
    <row r="296" spans="1:14" x14ac:dyDescent="0.35">
      <c r="A296" s="56">
        <v>969501</v>
      </c>
      <c r="B296" s="56" t="s">
        <v>384</v>
      </c>
      <c r="C296" s="203">
        <v>0</v>
      </c>
      <c r="D296" s="203">
        <v>2700</v>
      </c>
      <c r="E296" s="203">
        <v>226</v>
      </c>
      <c r="F296" s="203">
        <v>2700</v>
      </c>
      <c r="G296" s="56"/>
      <c r="H296" s="203">
        <v>40410.596026490064</v>
      </c>
      <c r="I296" s="203">
        <v>40410.596026490064</v>
      </c>
      <c r="J296" s="56" t="s">
        <v>42</v>
      </c>
      <c r="K296" s="56">
        <v>3</v>
      </c>
      <c r="L296" s="56"/>
      <c r="M296" s="56"/>
      <c r="N296" s="200">
        <v>43800</v>
      </c>
    </row>
    <row r="297" spans="1:14" x14ac:dyDescent="0.35">
      <c r="A297" s="56">
        <v>969501</v>
      </c>
      <c r="B297" s="56" t="s">
        <v>385</v>
      </c>
      <c r="C297" s="203">
        <v>2700</v>
      </c>
      <c r="D297" s="203">
        <v>2735</v>
      </c>
      <c r="E297" s="203">
        <v>84.6</v>
      </c>
      <c r="F297" s="203">
        <v>35</v>
      </c>
      <c r="G297" s="56"/>
      <c r="H297" s="203">
        <v>196.09271523178808</v>
      </c>
      <c r="I297" s="203">
        <v>196.09271523178808</v>
      </c>
      <c r="J297" s="56" t="s">
        <v>42</v>
      </c>
      <c r="K297" s="56">
        <v>3</v>
      </c>
      <c r="L297" s="56"/>
      <c r="M297" s="56"/>
      <c r="N297" s="200">
        <v>43800</v>
      </c>
    </row>
    <row r="298" spans="1:14" x14ac:dyDescent="0.35">
      <c r="A298" s="58">
        <v>969501</v>
      </c>
      <c r="B298" s="56" t="s">
        <v>384</v>
      </c>
      <c r="C298" s="203">
        <v>2735</v>
      </c>
      <c r="D298" s="203">
        <v>3361</v>
      </c>
      <c r="E298" s="203">
        <v>226</v>
      </c>
      <c r="F298" s="203">
        <v>626</v>
      </c>
      <c r="G298" s="56"/>
      <c r="H298" s="203">
        <v>9369.2715231788079</v>
      </c>
      <c r="I298" s="203">
        <v>9369.2715231788079</v>
      </c>
      <c r="J298" s="56" t="s">
        <v>42</v>
      </c>
      <c r="K298" s="56">
        <v>3</v>
      </c>
      <c r="L298" s="56"/>
      <c r="M298" s="56"/>
      <c r="N298" s="200">
        <v>43800</v>
      </c>
    </row>
    <row r="299" spans="1:14" x14ac:dyDescent="0.35">
      <c r="A299" s="56">
        <v>968900</v>
      </c>
      <c r="B299" s="56" t="s">
        <v>364</v>
      </c>
      <c r="C299" s="203"/>
      <c r="D299" s="203"/>
      <c r="E299" s="203">
        <v>126.5</v>
      </c>
      <c r="F299" s="203">
        <v>0</v>
      </c>
      <c r="G299" s="56"/>
      <c r="H299" s="203">
        <v>83.774834437086099</v>
      </c>
      <c r="I299" s="203">
        <v>83.774834437086099</v>
      </c>
      <c r="J299" s="56" t="s">
        <v>42</v>
      </c>
      <c r="K299" s="56">
        <v>3</v>
      </c>
      <c r="L299" s="56"/>
      <c r="M299" s="56"/>
      <c r="N299" s="200">
        <v>43831</v>
      </c>
    </row>
    <row r="300" spans="1:14" x14ac:dyDescent="0.35">
      <c r="A300" s="56">
        <v>968900</v>
      </c>
      <c r="B300" s="56" t="s">
        <v>364</v>
      </c>
      <c r="C300" s="203"/>
      <c r="D300" s="203"/>
      <c r="E300" s="203">
        <v>11338</v>
      </c>
      <c r="F300" s="203">
        <v>0</v>
      </c>
      <c r="G300" s="56"/>
      <c r="H300" s="203">
        <v>7508.6092715231789</v>
      </c>
      <c r="I300" s="203">
        <v>7508.6092715231789</v>
      </c>
      <c r="J300" s="56" t="s">
        <v>42</v>
      </c>
      <c r="K300" s="56">
        <v>3</v>
      </c>
      <c r="L300" s="56"/>
      <c r="M300" s="56"/>
      <c r="N300" s="200">
        <v>43831</v>
      </c>
    </row>
    <row r="301" spans="1:14" x14ac:dyDescent="0.35">
      <c r="A301" s="56">
        <v>968900</v>
      </c>
      <c r="B301" s="56" t="s">
        <v>365</v>
      </c>
      <c r="C301" s="203"/>
      <c r="D301" s="203"/>
      <c r="E301" s="203">
        <v>18052</v>
      </c>
      <c r="F301" s="203">
        <v>0</v>
      </c>
      <c r="G301" s="56"/>
      <c r="H301" s="203">
        <v>11954.966887417218</v>
      </c>
      <c r="I301" s="203">
        <v>11954.966887417218</v>
      </c>
      <c r="J301" s="56" t="s">
        <v>42</v>
      </c>
      <c r="K301" s="56">
        <v>3</v>
      </c>
      <c r="L301" s="56"/>
      <c r="M301" s="56"/>
      <c r="N301" s="200">
        <v>43831</v>
      </c>
    </row>
    <row r="302" spans="1:14" x14ac:dyDescent="0.35">
      <c r="A302" s="56">
        <v>968901</v>
      </c>
      <c r="B302" s="56" t="s">
        <v>348</v>
      </c>
      <c r="C302" s="203"/>
      <c r="D302" s="203"/>
      <c r="E302" s="203">
        <v>667</v>
      </c>
      <c r="F302" s="203">
        <v>0</v>
      </c>
      <c r="G302" s="56"/>
      <c r="H302" s="203">
        <v>574.23841059602648</v>
      </c>
      <c r="I302" s="203">
        <v>574.23841059602648</v>
      </c>
      <c r="J302" s="56" t="s">
        <v>42</v>
      </c>
      <c r="K302" s="56">
        <v>3</v>
      </c>
      <c r="L302" s="56"/>
      <c r="M302" s="56"/>
      <c r="N302" s="200">
        <v>43831</v>
      </c>
    </row>
    <row r="303" spans="1:14" x14ac:dyDescent="0.35">
      <c r="A303" s="56">
        <v>968901</v>
      </c>
      <c r="B303" s="56" t="s">
        <v>348</v>
      </c>
      <c r="C303" s="203"/>
      <c r="D303" s="203"/>
      <c r="E303" s="203">
        <v>15357</v>
      </c>
      <c r="F303" s="203">
        <v>0</v>
      </c>
      <c r="G303" s="56"/>
      <c r="H303" s="203">
        <v>13221.258278145695</v>
      </c>
      <c r="I303" s="203">
        <v>13221.258278145695</v>
      </c>
      <c r="J303" s="56" t="s">
        <v>42</v>
      </c>
      <c r="K303" s="56">
        <v>3</v>
      </c>
      <c r="L303" s="56"/>
      <c r="M303" s="56"/>
      <c r="N303" s="200">
        <v>43831</v>
      </c>
    </row>
    <row r="304" spans="1:14" x14ac:dyDescent="0.35">
      <c r="A304" s="56">
        <v>968901</v>
      </c>
      <c r="B304" s="56" t="s">
        <v>366</v>
      </c>
      <c r="C304" s="203"/>
      <c r="D304" s="203"/>
      <c r="E304" s="203"/>
      <c r="F304" s="203">
        <v>0</v>
      </c>
      <c r="G304" s="56"/>
      <c r="H304" s="203">
        <v>0</v>
      </c>
      <c r="I304" s="203">
        <v>0</v>
      </c>
      <c r="J304" s="56"/>
      <c r="K304" s="56"/>
      <c r="L304" s="56"/>
      <c r="M304" s="56"/>
      <c r="N304" s="200">
        <v>43831</v>
      </c>
    </row>
    <row r="305" spans="1:14" x14ac:dyDescent="0.35">
      <c r="A305" s="56">
        <v>968903</v>
      </c>
      <c r="B305" s="56" t="s">
        <v>335</v>
      </c>
      <c r="C305" s="203"/>
      <c r="D305" s="203"/>
      <c r="E305" s="203">
        <v>2286</v>
      </c>
      <c r="F305" s="203">
        <v>0</v>
      </c>
      <c r="G305" s="56"/>
      <c r="H305" s="203">
        <v>1362.5165562913908</v>
      </c>
      <c r="I305" s="203">
        <v>1362.5165562913908</v>
      </c>
      <c r="J305" s="56" t="s">
        <v>42</v>
      </c>
      <c r="K305" s="56">
        <v>3</v>
      </c>
      <c r="L305" s="56"/>
      <c r="M305" s="56"/>
      <c r="N305" s="200">
        <v>43831</v>
      </c>
    </row>
    <row r="306" spans="1:14" x14ac:dyDescent="0.35">
      <c r="A306" s="56">
        <v>968903</v>
      </c>
      <c r="B306" s="56" t="s">
        <v>335</v>
      </c>
      <c r="C306" s="203"/>
      <c r="D306" s="203"/>
      <c r="E306" s="203">
        <v>1798</v>
      </c>
      <c r="F306" s="203">
        <v>0</v>
      </c>
      <c r="G306" s="56"/>
      <c r="H306" s="203">
        <v>1488.4105960264901</v>
      </c>
      <c r="I306" s="203">
        <v>1488.4105960264901</v>
      </c>
      <c r="J306" s="56" t="s">
        <v>42</v>
      </c>
      <c r="K306" s="56">
        <v>3</v>
      </c>
      <c r="L306" s="56"/>
      <c r="M306" s="56"/>
      <c r="N306" s="200">
        <v>43831</v>
      </c>
    </row>
    <row r="307" spans="1:14" x14ac:dyDescent="0.35">
      <c r="A307" s="56">
        <v>968903</v>
      </c>
      <c r="B307" s="56" t="s">
        <v>335</v>
      </c>
      <c r="C307" s="203"/>
      <c r="D307" s="203"/>
      <c r="E307" s="203">
        <v>2400</v>
      </c>
      <c r="F307" s="203">
        <v>0</v>
      </c>
      <c r="G307" s="56"/>
      <c r="H307" s="203">
        <v>1986.7549668874174</v>
      </c>
      <c r="I307" s="203">
        <v>1986.7549668874174</v>
      </c>
      <c r="J307" s="56" t="s">
        <v>42</v>
      </c>
      <c r="K307" s="56">
        <v>3</v>
      </c>
      <c r="L307" s="56"/>
      <c r="M307" s="56"/>
      <c r="N307" s="200">
        <v>43831</v>
      </c>
    </row>
    <row r="308" spans="1:14" x14ac:dyDescent="0.35">
      <c r="A308" s="56">
        <v>968903</v>
      </c>
      <c r="B308" s="56" t="s">
        <v>335</v>
      </c>
      <c r="C308" s="203"/>
      <c r="D308" s="203"/>
      <c r="E308" s="203">
        <v>1556</v>
      </c>
      <c r="F308" s="203">
        <v>0</v>
      </c>
      <c r="G308" s="56"/>
      <c r="H308" s="203">
        <v>1288.0794701986756</v>
      </c>
      <c r="I308" s="203">
        <v>1288.0794701986756</v>
      </c>
      <c r="J308" s="56" t="s">
        <v>42</v>
      </c>
      <c r="K308" s="56">
        <v>3</v>
      </c>
      <c r="L308" s="56"/>
      <c r="M308" s="56"/>
      <c r="N308" s="200">
        <v>43831</v>
      </c>
    </row>
    <row r="309" spans="1:14" x14ac:dyDescent="0.35">
      <c r="A309" s="56">
        <v>968903</v>
      </c>
      <c r="B309" s="56" t="s">
        <v>364</v>
      </c>
      <c r="C309" s="203"/>
      <c r="D309" s="203"/>
      <c r="E309" s="203">
        <v>1908</v>
      </c>
      <c r="F309" s="203">
        <v>0</v>
      </c>
      <c r="G309" s="56"/>
      <c r="H309" s="203">
        <v>1263.5761589403974</v>
      </c>
      <c r="I309" s="203">
        <v>1263.5761589403974</v>
      </c>
      <c r="J309" s="56" t="s">
        <v>42</v>
      </c>
      <c r="K309" s="56">
        <v>3</v>
      </c>
      <c r="L309" s="56"/>
      <c r="M309" s="56"/>
      <c r="N309" s="200">
        <v>43831</v>
      </c>
    </row>
    <row r="310" spans="1:14" x14ac:dyDescent="0.35">
      <c r="A310" s="56">
        <v>968904</v>
      </c>
      <c r="B310" s="56" t="s">
        <v>358</v>
      </c>
      <c r="C310" s="203"/>
      <c r="D310" s="203"/>
      <c r="E310" s="203">
        <v>1071</v>
      </c>
      <c r="F310" s="203">
        <v>0</v>
      </c>
      <c r="G310" s="56"/>
      <c r="H310" s="203">
        <v>1489.4701986754967</v>
      </c>
      <c r="I310" s="203">
        <v>1489.4701986754967</v>
      </c>
      <c r="J310" s="56" t="s">
        <v>42</v>
      </c>
      <c r="K310" s="56">
        <v>3</v>
      </c>
      <c r="L310" s="56"/>
      <c r="M310" s="56"/>
      <c r="N310" s="200">
        <v>43831</v>
      </c>
    </row>
    <row r="311" spans="1:14" x14ac:dyDescent="0.35">
      <c r="A311" s="56">
        <v>968904</v>
      </c>
      <c r="B311" s="56" t="s">
        <v>367</v>
      </c>
      <c r="C311" s="203"/>
      <c r="D311" s="203"/>
      <c r="E311" s="203">
        <v>14804</v>
      </c>
      <c r="F311" s="203">
        <v>0</v>
      </c>
      <c r="G311" s="56"/>
      <c r="H311" s="203">
        <v>12745.165562913908</v>
      </c>
      <c r="I311" s="203">
        <v>12745.165562913908</v>
      </c>
      <c r="J311" s="56" t="s">
        <v>42</v>
      </c>
      <c r="K311" s="56">
        <v>3</v>
      </c>
      <c r="L311" s="56"/>
      <c r="M311" s="56"/>
      <c r="N311" s="200">
        <v>43831</v>
      </c>
    </row>
    <row r="312" spans="1:14" x14ac:dyDescent="0.35">
      <c r="A312" s="56">
        <v>968904</v>
      </c>
      <c r="B312" s="56" t="s">
        <v>367</v>
      </c>
      <c r="C312" s="203"/>
      <c r="D312" s="203"/>
      <c r="E312" s="203">
        <v>2236</v>
      </c>
      <c r="F312" s="203">
        <v>0</v>
      </c>
      <c r="G312" s="56"/>
      <c r="H312" s="203">
        <v>2369.2715231788079</v>
      </c>
      <c r="I312" s="203">
        <v>2369.2715231788079</v>
      </c>
      <c r="J312" s="56" t="s">
        <v>42</v>
      </c>
      <c r="K312" s="56">
        <v>3</v>
      </c>
      <c r="L312" s="56"/>
      <c r="M312" s="56"/>
      <c r="N312" s="200">
        <v>43831</v>
      </c>
    </row>
    <row r="313" spans="1:14" x14ac:dyDescent="0.35">
      <c r="A313" s="56">
        <v>968904</v>
      </c>
      <c r="B313" s="56" t="s">
        <v>367</v>
      </c>
      <c r="C313" s="203"/>
      <c r="D313" s="203"/>
      <c r="E313" s="203">
        <v>5059</v>
      </c>
      <c r="F313" s="203">
        <v>0</v>
      </c>
      <c r="G313" s="56"/>
      <c r="H313" s="203">
        <v>5360.5298013245038</v>
      </c>
      <c r="I313" s="203">
        <v>5360.5298013245038</v>
      </c>
      <c r="J313" s="56" t="s">
        <v>42</v>
      </c>
      <c r="K313" s="56">
        <v>3</v>
      </c>
      <c r="L313" s="56"/>
      <c r="M313" s="56"/>
      <c r="N313" s="200">
        <v>43831</v>
      </c>
    </row>
    <row r="314" spans="1:14" x14ac:dyDescent="0.35">
      <c r="A314" s="56">
        <v>968904</v>
      </c>
      <c r="B314" s="56" t="s">
        <v>367</v>
      </c>
      <c r="C314" s="203"/>
      <c r="D314" s="203"/>
      <c r="E314" s="203">
        <v>1554</v>
      </c>
      <c r="F314" s="203">
        <v>0</v>
      </c>
      <c r="G314" s="56"/>
      <c r="H314" s="203">
        <v>1234.9668874172185</v>
      </c>
      <c r="I314" s="203">
        <v>1234.9668874172185</v>
      </c>
      <c r="J314" s="56" t="s">
        <v>42</v>
      </c>
      <c r="K314" s="56">
        <v>3</v>
      </c>
      <c r="L314" s="56"/>
      <c r="M314" s="56"/>
      <c r="N314" s="200">
        <v>43831</v>
      </c>
    </row>
    <row r="315" spans="1:14" x14ac:dyDescent="0.35">
      <c r="A315" s="56">
        <v>968904</v>
      </c>
      <c r="B315" s="56" t="s">
        <v>368</v>
      </c>
      <c r="C315" s="203"/>
      <c r="D315" s="203"/>
      <c r="E315" s="203">
        <v>7604</v>
      </c>
      <c r="F315" s="203">
        <v>0</v>
      </c>
      <c r="G315" s="56"/>
      <c r="H315" s="203">
        <v>6546.4900662251657</v>
      </c>
      <c r="I315" s="203">
        <v>6546.4900662251657</v>
      </c>
      <c r="J315" s="56" t="s">
        <v>42</v>
      </c>
      <c r="K315" s="56">
        <v>3</v>
      </c>
      <c r="L315" s="56"/>
      <c r="M315" s="56"/>
      <c r="N315" s="200">
        <v>43831</v>
      </c>
    </row>
    <row r="316" spans="1:14" x14ac:dyDescent="0.35">
      <c r="A316" s="56">
        <v>969500</v>
      </c>
      <c r="B316" s="56" t="s">
        <v>359</v>
      </c>
      <c r="C316" s="203">
        <v>1556</v>
      </c>
      <c r="D316" s="203">
        <v>3506</v>
      </c>
      <c r="E316" s="203">
        <v>226</v>
      </c>
      <c r="F316" s="203">
        <v>1950</v>
      </c>
      <c r="G316" s="56"/>
      <c r="H316" s="203">
        <v>29185.430463576158</v>
      </c>
      <c r="I316" s="203">
        <v>29185.430463576158</v>
      </c>
      <c r="J316" s="56" t="s">
        <v>42</v>
      </c>
      <c r="K316" s="56">
        <v>3</v>
      </c>
      <c r="L316" s="56"/>
      <c r="M316" s="56"/>
      <c r="N316" s="200">
        <v>43831</v>
      </c>
    </row>
    <row r="317" spans="1:14" x14ac:dyDescent="0.35">
      <c r="A317" s="56">
        <v>969500</v>
      </c>
      <c r="B317" s="56" t="s">
        <v>359</v>
      </c>
      <c r="C317" s="203">
        <v>3506</v>
      </c>
      <c r="D317" s="203">
        <v>3553</v>
      </c>
      <c r="E317" s="203">
        <v>100</v>
      </c>
      <c r="F317" s="203">
        <v>47</v>
      </c>
      <c r="G317" s="56"/>
      <c r="H317" s="203">
        <v>311.25827814569539</v>
      </c>
      <c r="I317" s="203">
        <v>311.25827814569539</v>
      </c>
      <c r="J317" s="56" t="s">
        <v>42</v>
      </c>
      <c r="K317" s="56">
        <v>3</v>
      </c>
      <c r="L317" s="56"/>
      <c r="M317" s="56"/>
      <c r="N317" s="200">
        <v>43831</v>
      </c>
    </row>
    <row r="318" spans="1:14" x14ac:dyDescent="0.35">
      <c r="A318" s="56">
        <v>969500</v>
      </c>
      <c r="B318" s="56" t="s">
        <v>359</v>
      </c>
      <c r="C318" s="203">
        <v>3553</v>
      </c>
      <c r="D318" s="203">
        <v>4100</v>
      </c>
      <c r="E318" s="203">
        <v>226</v>
      </c>
      <c r="F318" s="203">
        <v>547</v>
      </c>
      <c r="G318" s="56"/>
      <c r="H318" s="203">
        <v>8186.8874172185433</v>
      </c>
      <c r="I318" s="203">
        <v>8186.8874172185433</v>
      </c>
      <c r="J318" s="56" t="s">
        <v>42</v>
      </c>
      <c r="K318" s="56">
        <v>3</v>
      </c>
      <c r="L318" s="56"/>
      <c r="M318" s="56"/>
      <c r="N318" s="200">
        <v>43831</v>
      </c>
    </row>
    <row r="319" spans="1:14" x14ac:dyDescent="0.35">
      <c r="A319" s="56">
        <v>969500</v>
      </c>
      <c r="B319" s="56" t="s">
        <v>359</v>
      </c>
      <c r="C319" s="203">
        <v>4153</v>
      </c>
      <c r="D319" s="203">
        <v>4233</v>
      </c>
      <c r="E319" s="203">
        <v>226</v>
      </c>
      <c r="F319" s="203">
        <v>80</v>
      </c>
      <c r="G319" s="56"/>
      <c r="H319" s="203">
        <v>1197.3509933774835</v>
      </c>
      <c r="I319" s="203">
        <v>1197.3509933774835</v>
      </c>
      <c r="J319" s="56" t="s">
        <v>42</v>
      </c>
      <c r="K319" s="56">
        <v>3</v>
      </c>
      <c r="L319" s="56"/>
      <c r="M319" s="56"/>
      <c r="N319" s="200">
        <v>43831</v>
      </c>
    </row>
    <row r="320" spans="1:14" x14ac:dyDescent="0.35">
      <c r="A320" s="56">
        <v>969500</v>
      </c>
      <c r="B320" s="56" t="s">
        <v>359</v>
      </c>
      <c r="C320" s="203">
        <v>4093</v>
      </c>
      <c r="D320" s="203">
        <v>0</v>
      </c>
      <c r="E320" s="203">
        <v>175</v>
      </c>
      <c r="F320" s="203">
        <v>4093</v>
      </c>
      <c r="G320" s="56"/>
      <c r="H320" s="203">
        <v>47435.430463576158</v>
      </c>
      <c r="I320" s="203">
        <v>47435.430463576158</v>
      </c>
      <c r="J320" s="56" t="s">
        <v>42</v>
      </c>
      <c r="K320" s="56">
        <v>3</v>
      </c>
      <c r="L320" s="56"/>
      <c r="M320" s="56"/>
      <c r="N320" s="200">
        <v>43831</v>
      </c>
    </row>
    <row r="321" spans="1:14" x14ac:dyDescent="0.35">
      <c r="A321" s="56">
        <v>969500</v>
      </c>
      <c r="B321" s="56" t="s">
        <v>370</v>
      </c>
      <c r="C321" s="203">
        <v>0</v>
      </c>
      <c r="D321" s="203">
        <v>71</v>
      </c>
      <c r="E321" s="203">
        <v>442</v>
      </c>
      <c r="F321" s="203">
        <v>71</v>
      </c>
      <c r="G321" s="56"/>
      <c r="H321" s="203">
        <v>2078.2781456953644</v>
      </c>
      <c r="I321" s="203">
        <v>2078.2781456953644</v>
      </c>
      <c r="J321" s="56" t="s">
        <v>42</v>
      </c>
      <c r="K321" s="56">
        <v>3</v>
      </c>
      <c r="L321" s="56"/>
      <c r="M321" s="56"/>
      <c r="N321" s="200">
        <v>43831</v>
      </c>
    </row>
    <row r="322" spans="1:14" x14ac:dyDescent="0.35">
      <c r="A322" s="56">
        <v>969500</v>
      </c>
      <c r="B322" s="56" t="s">
        <v>371</v>
      </c>
      <c r="C322" s="203">
        <v>0</v>
      </c>
      <c r="D322" s="203">
        <v>180</v>
      </c>
      <c r="E322" s="203">
        <v>401</v>
      </c>
      <c r="F322" s="203">
        <v>180</v>
      </c>
      <c r="G322" s="56"/>
      <c r="H322" s="203">
        <v>4780.1324503311262</v>
      </c>
      <c r="I322" s="203">
        <v>4780.1324503311262</v>
      </c>
      <c r="J322" s="56" t="s">
        <v>42</v>
      </c>
      <c r="K322" s="56">
        <v>3</v>
      </c>
      <c r="L322" s="56"/>
      <c r="M322" s="56"/>
      <c r="N322" s="200">
        <v>43831</v>
      </c>
    </row>
    <row r="323" spans="1:14" x14ac:dyDescent="0.35">
      <c r="A323" s="56">
        <v>969500</v>
      </c>
      <c r="B323" s="56" t="s">
        <v>359</v>
      </c>
      <c r="C323" s="203">
        <v>3675</v>
      </c>
      <c r="D323" s="203">
        <v>3945</v>
      </c>
      <c r="E323" s="203">
        <v>277</v>
      </c>
      <c r="F323" s="203">
        <v>270</v>
      </c>
      <c r="G323" s="56"/>
      <c r="H323" s="203">
        <v>4952.9801324503314</v>
      </c>
      <c r="I323" s="203">
        <v>4952.9801324503314</v>
      </c>
      <c r="J323" s="56" t="s">
        <v>42</v>
      </c>
      <c r="K323" s="56">
        <v>3</v>
      </c>
      <c r="L323" s="56"/>
      <c r="M323" s="56"/>
      <c r="N323" s="200">
        <v>43831</v>
      </c>
    </row>
    <row r="324" spans="1:14" x14ac:dyDescent="0.35">
      <c r="A324" s="56">
        <v>969500</v>
      </c>
      <c r="B324" s="56" t="s">
        <v>375</v>
      </c>
      <c r="C324" s="203">
        <v>0</v>
      </c>
      <c r="D324" s="203">
        <v>50</v>
      </c>
      <c r="E324" s="203">
        <v>277</v>
      </c>
      <c r="F324" s="203">
        <v>50</v>
      </c>
      <c r="G324" s="56"/>
      <c r="H324" s="203">
        <v>917.21854304635758</v>
      </c>
      <c r="I324" s="203">
        <v>917.21854304635758</v>
      </c>
      <c r="J324" s="56" t="s">
        <v>42</v>
      </c>
      <c r="K324" s="56">
        <v>3</v>
      </c>
      <c r="L324" s="56"/>
      <c r="M324" s="56"/>
      <c r="N324" s="200">
        <v>43831</v>
      </c>
    </row>
    <row r="325" spans="1:14" x14ac:dyDescent="0.35">
      <c r="A325" s="56">
        <v>969500</v>
      </c>
      <c r="B325" s="56" t="s">
        <v>372</v>
      </c>
      <c r="C325" s="203">
        <v>0</v>
      </c>
      <c r="D325" s="203">
        <v>100</v>
      </c>
      <c r="E325" s="203">
        <v>160</v>
      </c>
      <c r="F325" s="203">
        <v>100</v>
      </c>
      <c r="G325" s="56"/>
      <c r="H325" s="203">
        <v>1059.6026490066226</v>
      </c>
      <c r="I325" s="203">
        <v>1059.6026490066226</v>
      </c>
      <c r="J325" s="56" t="s">
        <v>42</v>
      </c>
      <c r="K325" s="56">
        <v>3</v>
      </c>
      <c r="L325" s="56"/>
      <c r="M325" s="56"/>
      <c r="N325" s="200">
        <v>43831</v>
      </c>
    </row>
    <row r="326" spans="1:14" x14ac:dyDescent="0.35">
      <c r="A326" s="56">
        <v>969501</v>
      </c>
      <c r="B326" s="56" t="s">
        <v>369</v>
      </c>
      <c r="C326" s="203">
        <v>3361</v>
      </c>
      <c r="D326" s="203">
        <v>6714</v>
      </c>
      <c r="E326" s="203">
        <v>226</v>
      </c>
      <c r="F326" s="203">
        <v>3353</v>
      </c>
      <c r="G326" s="56"/>
      <c r="H326" s="203">
        <v>50183.973509933778</v>
      </c>
      <c r="I326" s="203">
        <v>50183.973509933778</v>
      </c>
      <c r="J326" s="56" t="s">
        <v>42</v>
      </c>
      <c r="K326" s="56">
        <v>3</v>
      </c>
      <c r="L326" s="56"/>
      <c r="M326" s="56"/>
      <c r="N326" s="200">
        <v>43831</v>
      </c>
    </row>
    <row r="327" spans="1:14" x14ac:dyDescent="0.35">
      <c r="A327" s="56">
        <v>969501</v>
      </c>
      <c r="B327" s="56" t="s">
        <v>369</v>
      </c>
      <c r="C327" s="203">
        <v>6335</v>
      </c>
      <c r="D327" s="203">
        <v>6360</v>
      </c>
      <c r="E327" s="203">
        <v>2384</v>
      </c>
      <c r="F327" s="203">
        <v>25</v>
      </c>
      <c r="G327" s="56"/>
      <c r="H327" s="203">
        <v>3947.019867549669</v>
      </c>
      <c r="I327" s="203">
        <v>3947.019867549669</v>
      </c>
      <c r="J327" s="56" t="s">
        <v>42</v>
      </c>
      <c r="K327" s="56">
        <v>3</v>
      </c>
      <c r="L327" s="56"/>
      <c r="M327" s="56"/>
      <c r="N327" s="200">
        <v>43831</v>
      </c>
    </row>
    <row r="328" spans="1:14" x14ac:dyDescent="0.35">
      <c r="A328" s="56">
        <v>969501</v>
      </c>
      <c r="B328" s="56" t="s">
        <v>369</v>
      </c>
      <c r="C328" s="203">
        <v>6442</v>
      </c>
      <c r="D328" s="203">
        <v>2735</v>
      </c>
      <c r="E328" s="203">
        <v>174.6</v>
      </c>
      <c r="F328" s="203">
        <v>3707</v>
      </c>
      <c r="G328" s="56"/>
      <c r="H328" s="203">
        <v>42863.721854304633</v>
      </c>
      <c r="I328" s="203">
        <v>42863.721854304633</v>
      </c>
      <c r="J328" s="56" t="s">
        <v>42</v>
      </c>
      <c r="K328" s="56">
        <v>3</v>
      </c>
      <c r="L328" s="56"/>
      <c r="M328" s="56"/>
      <c r="N328" s="200">
        <v>43831</v>
      </c>
    </row>
    <row r="329" spans="1:14" x14ac:dyDescent="0.35">
      <c r="A329" s="56">
        <v>969501</v>
      </c>
      <c r="B329" s="56" t="s">
        <v>369</v>
      </c>
      <c r="C329" s="203">
        <v>2700</v>
      </c>
      <c r="D329" s="203">
        <v>2460</v>
      </c>
      <c r="E329" s="203">
        <v>175</v>
      </c>
      <c r="F329" s="203">
        <v>240</v>
      </c>
      <c r="G329" s="56"/>
      <c r="H329" s="203">
        <v>2781.4569536423842</v>
      </c>
      <c r="I329" s="203">
        <v>2781.4569536423842</v>
      </c>
      <c r="J329" s="56" t="s">
        <v>42</v>
      </c>
      <c r="K329" s="56">
        <v>3</v>
      </c>
      <c r="L329" s="56"/>
      <c r="M329" s="56"/>
      <c r="N329" s="200">
        <v>43831</v>
      </c>
    </row>
    <row r="330" spans="1:14" x14ac:dyDescent="0.35">
      <c r="A330" s="405" t="s">
        <v>404</v>
      </c>
      <c r="B330" s="56" t="s">
        <v>360</v>
      </c>
      <c r="C330" s="203"/>
      <c r="D330" s="203"/>
      <c r="E330" s="203">
        <v>47922</v>
      </c>
      <c r="F330" s="203">
        <v>0</v>
      </c>
      <c r="G330" s="56"/>
      <c r="H330" s="203">
        <v>3173.6423841059604</v>
      </c>
      <c r="I330" s="203">
        <v>3173.6423841059604</v>
      </c>
      <c r="J330" s="56" t="s">
        <v>42</v>
      </c>
      <c r="K330" s="56">
        <v>3</v>
      </c>
      <c r="L330" s="56"/>
      <c r="M330" s="56"/>
      <c r="N330" s="200">
        <v>43831</v>
      </c>
    </row>
    <row r="331" spans="1:14" x14ac:dyDescent="0.35">
      <c r="A331" s="56">
        <v>968900</v>
      </c>
      <c r="B331" s="56" t="s">
        <v>401</v>
      </c>
      <c r="C331" s="203"/>
      <c r="D331" s="203"/>
      <c r="E331" s="203">
        <v>5563</v>
      </c>
      <c r="F331" s="203">
        <v>0</v>
      </c>
      <c r="G331" s="56"/>
      <c r="H331" s="203">
        <v>10683.907284768213</v>
      </c>
      <c r="I331" s="203">
        <v>10683.907284768213</v>
      </c>
      <c r="J331" s="56" t="s">
        <v>42</v>
      </c>
      <c r="K331" s="56">
        <v>3</v>
      </c>
      <c r="L331" s="56"/>
      <c r="M331" s="56"/>
      <c r="N331" s="200">
        <v>43862</v>
      </c>
    </row>
    <row r="332" spans="1:14" x14ac:dyDescent="0.35">
      <c r="A332" s="56">
        <v>968900</v>
      </c>
      <c r="B332" s="56" t="s">
        <v>401</v>
      </c>
      <c r="C332" s="203"/>
      <c r="D332" s="203"/>
      <c r="E332" s="203">
        <v>14753</v>
      </c>
      <c r="F332" s="203">
        <v>0</v>
      </c>
      <c r="G332" s="56"/>
      <c r="H332" s="203">
        <v>18563.37748344371</v>
      </c>
      <c r="I332" s="203">
        <v>18563.37748344371</v>
      </c>
      <c r="J332" s="56" t="s">
        <v>42</v>
      </c>
      <c r="K332" s="56">
        <v>3</v>
      </c>
      <c r="L332" s="56"/>
      <c r="M332" s="56"/>
      <c r="N332" s="200">
        <v>43862</v>
      </c>
    </row>
    <row r="333" spans="1:14" x14ac:dyDescent="0.35">
      <c r="A333" s="56">
        <v>968900</v>
      </c>
      <c r="B333" s="56" t="s">
        <v>401</v>
      </c>
      <c r="C333" s="203"/>
      <c r="D333" s="203"/>
      <c r="E333" s="203">
        <v>6880</v>
      </c>
      <c r="F333" s="203">
        <v>0</v>
      </c>
      <c r="G333" s="56"/>
      <c r="H333" s="203">
        <v>10023.84105960265</v>
      </c>
      <c r="I333" s="203">
        <v>10023.84105960265</v>
      </c>
      <c r="J333" s="56" t="s">
        <v>42</v>
      </c>
      <c r="K333" s="56">
        <v>3</v>
      </c>
      <c r="L333" s="56"/>
      <c r="M333" s="56"/>
      <c r="N333" s="200">
        <v>43862</v>
      </c>
    </row>
    <row r="334" spans="1:14" x14ac:dyDescent="0.35">
      <c r="A334" s="56">
        <v>968900</v>
      </c>
      <c r="B334" s="56" t="s">
        <v>401</v>
      </c>
      <c r="C334" s="203"/>
      <c r="D334" s="203"/>
      <c r="E334" s="203">
        <v>807</v>
      </c>
      <c r="F334" s="203">
        <v>0</v>
      </c>
      <c r="G334" s="56"/>
      <c r="H334" s="203">
        <v>721.49006622516561</v>
      </c>
      <c r="I334" s="203">
        <v>721.49006622516561</v>
      </c>
      <c r="J334" s="56" t="s">
        <v>42</v>
      </c>
      <c r="K334" s="56">
        <v>3</v>
      </c>
      <c r="L334" s="56"/>
      <c r="M334" s="56"/>
      <c r="N334" s="200">
        <v>43862</v>
      </c>
    </row>
    <row r="335" spans="1:14" x14ac:dyDescent="0.35">
      <c r="A335" s="56">
        <v>968900</v>
      </c>
      <c r="B335" s="56" t="s">
        <v>401</v>
      </c>
      <c r="C335" s="203"/>
      <c r="D335" s="203"/>
      <c r="E335" s="203">
        <v>844</v>
      </c>
      <c r="F335" s="203">
        <v>0</v>
      </c>
      <c r="G335" s="56"/>
      <c r="H335" s="203">
        <v>558.94039735099341</v>
      </c>
      <c r="I335" s="203">
        <v>558.94039735099341</v>
      </c>
      <c r="J335" s="56" t="s">
        <v>42</v>
      </c>
      <c r="K335" s="56">
        <v>3</v>
      </c>
      <c r="L335" s="56"/>
      <c r="M335" s="56"/>
      <c r="N335" s="200">
        <v>43862</v>
      </c>
    </row>
    <row r="336" spans="1:14" x14ac:dyDescent="0.35">
      <c r="A336" s="56">
        <v>968900</v>
      </c>
      <c r="B336" s="56" t="s">
        <v>401</v>
      </c>
      <c r="C336" s="203"/>
      <c r="D336" s="203"/>
      <c r="E336" s="203">
        <v>1002</v>
      </c>
      <c r="F336" s="203">
        <v>0</v>
      </c>
      <c r="G336" s="56"/>
      <c r="H336" s="203">
        <v>663.57615894039736</v>
      </c>
      <c r="I336" s="203">
        <v>663.57615894039736</v>
      </c>
      <c r="J336" s="56" t="s">
        <v>42</v>
      </c>
      <c r="K336" s="56">
        <v>3</v>
      </c>
      <c r="L336" s="56"/>
      <c r="M336" s="56"/>
      <c r="N336" s="200">
        <v>43862</v>
      </c>
    </row>
    <row r="337" spans="1:14" x14ac:dyDescent="0.35">
      <c r="A337" s="56">
        <v>968900</v>
      </c>
      <c r="B337" s="56" t="s">
        <v>401</v>
      </c>
      <c r="C337" s="203"/>
      <c r="D337" s="203"/>
      <c r="E337" s="203">
        <v>451</v>
      </c>
      <c r="F337" s="203">
        <v>0</v>
      </c>
      <c r="G337" s="56"/>
      <c r="H337" s="203">
        <v>298.6754966887417</v>
      </c>
      <c r="I337" s="203">
        <v>298.6754966887417</v>
      </c>
      <c r="J337" s="56" t="s">
        <v>42</v>
      </c>
      <c r="K337" s="56">
        <v>3</v>
      </c>
      <c r="L337" s="56"/>
      <c r="M337" s="56"/>
      <c r="N337" s="200">
        <v>43862</v>
      </c>
    </row>
    <row r="338" spans="1:14" x14ac:dyDescent="0.35">
      <c r="A338" s="56">
        <v>968901</v>
      </c>
      <c r="B338" s="56" t="s">
        <v>261</v>
      </c>
      <c r="C338" s="203"/>
      <c r="D338" s="203"/>
      <c r="E338" s="203">
        <v>8866</v>
      </c>
      <c r="F338" s="203">
        <v>0</v>
      </c>
      <c r="G338" s="56"/>
      <c r="H338" s="203">
        <v>587.15231788079473</v>
      </c>
      <c r="I338" s="203">
        <v>587.15231788079473</v>
      </c>
      <c r="J338" s="56" t="s">
        <v>42</v>
      </c>
      <c r="K338" s="56">
        <v>3</v>
      </c>
      <c r="L338" s="56"/>
      <c r="M338" s="56"/>
      <c r="N338" s="200">
        <v>43862</v>
      </c>
    </row>
    <row r="339" spans="1:14" x14ac:dyDescent="0.35">
      <c r="A339" s="56">
        <v>968903</v>
      </c>
      <c r="B339" s="56" t="s">
        <v>345</v>
      </c>
      <c r="C339" s="203"/>
      <c r="D339" s="203"/>
      <c r="E339" s="203">
        <v>8539</v>
      </c>
      <c r="F339" s="203">
        <v>0</v>
      </c>
      <c r="G339" s="56"/>
      <c r="H339" s="203">
        <v>5372.2185430463578</v>
      </c>
      <c r="I339" s="203">
        <v>5372.2185430463578</v>
      </c>
      <c r="J339" s="56" t="s">
        <v>42</v>
      </c>
      <c r="K339" s="56">
        <v>3</v>
      </c>
      <c r="L339" s="56"/>
      <c r="M339" s="56"/>
      <c r="N339" s="200">
        <v>43862</v>
      </c>
    </row>
    <row r="340" spans="1:14" x14ac:dyDescent="0.35">
      <c r="A340" s="56">
        <v>968904</v>
      </c>
      <c r="B340" s="56" t="s">
        <v>402</v>
      </c>
      <c r="C340" s="203"/>
      <c r="D340" s="203"/>
      <c r="E340" s="203">
        <v>3350</v>
      </c>
      <c r="F340" s="203">
        <v>0</v>
      </c>
      <c r="G340" s="56"/>
      <c r="H340" s="203">
        <v>1996.6887417218543</v>
      </c>
      <c r="I340" s="203">
        <v>1996.6887417218543</v>
      </c>
      <c r="J340" s="56" t="s">
        <v>42</v>
      </c>
      <c r="K340" s="56">
        <v>3</v>
      </c>
      <c r="L340" s="56"/>
      <c r="M340" s="56"/>
      <c r="N340" s="200">
        <v>43862</v>
      </c>
    </row>
    <row r="341" spans="1:14" x14ac:dyDescent="0.35">
      <c r="A341" s="56">
        <v>968904</v>
      </c>
      <c r="B341" s="56" t="s">
        <v>403</v>
      </c>
      <c r="C341" s="203"/>
      <c r="D341" s="203"/>
      <c r="E341" s="203">
        <v>57225.712099999997</v>
      </c>
      <c r="F341" s="203">
        <v>0</v>
      </c>
      <c r="G341" s="56"/>
      <c r="H341" s="203">
        <v>49267.169357615894</v>
      </c>
      <c r="I341" s="203">
        <v>49267.169357615894</v>
      </c>
      <c r="J341" s="56" t="s">
        <v>42</v>
      </c>
      <c r="K341" s="56">
        <v>3</v>
      </c>
      <c r="L341" s="56"/>
      <c r="M341" s="56"/>
      <c r="N341" s="200">
        <v>43862</v>
      </c>
    </row>
    <row r="342" spans="1:14" x14ac:dyDescent="0.35">
      <c r="A342" s="56">
        <v>969500</v>
      </c>
      <c r="B342" s="56" t="s">
        <v>372</v>
      </c>
      <c r="C342" s="203">
        <v>0</v>
      </c>
      <c r="D342" s="203">
        <v>100</v>
      </c>
      <c r="E342" s="203">
        <v>160</v>
      </c>
      <c r="F342" s="203">
        <v>100</v>
      </c>
      <c r="G342" s="56"/>
      <c r="H342" s="203">
        <v>1059.6026490066226</v>
      </c>
      <c r="I342" s="203">
        <v>1059.6026490066226</v>
      </c>
      <c r="J342" s="56" t="s">
        <v>42</v>
      </c>
      <c r="K342" s="56">
        <v>3</v>
      </c>
      <c r="L342" s="56"/>
      <c r="M342" s="56"/>
      <c r="N342" s="200">
        <v>43862</v>
      </c>
    </row>
    <row r="343" spans="1:14" x14ac:dyDescent="0.35">
      <c r="A343" s="56">
        <v>969500</v>
      </c>
      <c r="B343" s="56" t="s">
        <v>406</v>
      </c>
      <c r="C343" s="203">
        <v>0</v>
      </c>
      <c r="D343" s="203">
        <v>4750</v>
      </c>
      <c r="E343" s="203">
        <v>226</v>
      </c>
      <c r="F343" s="203">
        <v>4750</v>
      </c>
      <c r="G343" s="56"/>
      <c r="H343" s="203">
        <v>71092.715231788083</v>
      </c>
      <c r="I343" s="203">
        <v>71092.715231788083</v>
      </c>
      <c r="J343" s="56" t="s">
        <v>42</v>
      </c>
      <c r="K343" s="56">
        <v>3</v>
      </c>
      <c r="L343" s="56"/>
      <c r="M343" s="56"/>
      <c r="N343" s="200">
        <v>43862</v>
      </c>
    </row>
    <row r="344" spans="1:14" x14ac:dyDescent="0.35">
      <c r="A344" s="56">
        <v>969500</v>
      </c>
      <c r="B344" s="56" t="s">
        <v>406</v>
      </c>
      <c r="C344" s="203">
        <v>4750</v>
      </c>
      <c r="D344" s="203">
        <v>5013</v>
      </c>
      <c r="E344" s="203">
        <v>464.8</v>
      </c>
      <c r="F344" s="203">
        <v>263</v>
      </c>
      <c r="G344" s="56"/>
      <c r="H344" s="203">
        <v>8095.5231788079482</v>
      </c>
      <c r="I344" s="203">
        <v>8095.5231788079482</v>
      </c>
      <c r="J344" s="56" t="s">
        <v>42</v>
      </c>
      <c r="K344" s="56">
        <v>3</v>
      </c>
      <c r="L344" s="56"/>
      <c r="M344" s="56"/>
      <c r="N344" s="200">
        <v>43862</v>
      </c>
    </row>
    <row r="345" spans="1:14" x14ac:dyDescent="0.35">
      <c r="A345" s="56">
        <v>969500</v>
      </c>
      <c r="B345" s="56" t="s">
        <v>406</v>
      </c>
      <c r="C345" s="203">
        <v>4750</v>
      </c>
      <c r="D345" s="203">
        <v>3080</v>
      </c>
      <c r="E345" s="203">
        <v>174.6</v>
      </c>
      <c r="F345" s="203">
        <v>1670</v>
      </c>
      <c r="G345" s="56"/>
      <c r="H345" s="203">
        <v>19310.066225165563</v>
      </c>
      <c r="I345" s="203">
        <v>19310.066225165563</v>
      </c>
      <c r="J345" s="56" t="s">
        <v>42</v>
      </c>
      <c r="K345" s="56">
        <v>3</v>
      </c>
      <c r="L345" s="56"/>
      <c r="M345" s="56"/>
      <c r="N345" s="200">
        <v>43862</v>
      </c>
    </row>
    <row r="346" spans="1:14" x14ac:dyDescent="0.35">
      <c r="A346" s="56">
        <v>969501</v>
      </c>
      <c r="B346" s="56" t="s">
        <v>408</v>
      </c>
      <c r="C346" s="203">
        <v>2460</v>
      </c>
      <c r="D346" s="203">
        <v>2457</v>
      </c>
      <c r="E346" s="203">
        <v>174.6</v>
      </c>
      <c r="F346" s="203">
        <v>3</v>
      </c>
      <c r="G346" s="56"/>
      <c r="H346" s="203">
        <v>34.688741721854299</v>
      </c>
      <c r="I346" s="203">
        <v>34.688741721854299</v>
      </c>
      <c r="J346" s="56" t="s">
        <v>42</v>
      </c>
      <c r="K346" s="56">
        <v>3</v>
      </c>
      <c r="L346" s="56"/>
      <c r="M346" s="56"/>
      <c r="N346" s="200">
        <v>43862</v>
      </c>
    </row>
    <row r="347" spans="1:14" x14ac:dyDescent="0.35">
      <c r="A347" s="56">
        <v>969501</v>
      </c>
      <c r="B347" s="56" t="s">
        <v>411</v>
      </c>
      <c r="C347" s="203">
        <v>2457</v>
      </c>
      <c r="D347" s="203">
        <v>2421</v>
      </c>
      <c r="E347" s="203">
        <v>114.25</v>
      </c>
      <c r="F347" s="203">
        <v>36</v>
      </c>
      <c r="G347" s="56"/>
      <c r="H347" s="203">
        <v>272.38410596026489</v>
      </c>
      <c r="I347" s="203">
        <v>272.38410596026489</v>
      </c>
      <c r="J347" s="56" t="s">
        <v>42</v>
      </c>
      <c r="K347" s="56">
        <v>3</v>
      </c>
      <c r="L347" s="56"/>
      <c r="M347" s="56"/>
      <c r="N347" s="200">
        <v>43862</v>
      </c>
    </row>
    <row r="348" spans="1:14" x14ac:dyDescent="0.35">
      <c r="A348" s="56">
        <v>969501</v>
      </c>
      <c r="B348" s="56" t="s">
        <v>410</v>
      </c>
      <c r="C348" s="203">
        <v>2421</v>
      </c>
      <c r="D348" s="203">
        <v>1689</v>
      </c>
      <c r="E348" s="203">
        <v>175</v>
      </c>
      <c r="F348" s="203">
        <v>732</v>
      </c>
      <c r="G348" s="56"/>
      <c r="H348" s="203">
        <v>8483.4437086092712</v>
      </c>
      <c r="I348" s="203">
        <v>8483.4437086092712</v>
      </c>
      <c r="J348" s="56" t="s">
        <v>42</v>
      </c>
      <c r="K348" s="56">
        <v>3</v>
      </c>
      <c r="L348" s="56"/>
      <c r="M348" s="56"/>
      <c r="N348" s="200">
        <v>43862</v>
      </c>
    </row>
    <row r="349" spans="1:14" x14ac:dyDescent="0.35">
      <c r="A349" s="56">
        <v>969501</v>
      </c>
      <c r="B349" s="56" t="s">
        <v>407</v>
      </c>
      <c r="C349" s="203">
        <v>0</v>
      </c>
      <c r="D349" s="203">
        <v>5754</v>
      </c>
      <c r="E349" s="203">
        <v>226</v>
      </c>
      <c r="F349" s="203">
        <v>5754</v>
      </c>
      <c r="G349" s="56"/>
      <c r="H349" s="203">
        <v>86119.470198675495</v>
      </c>
      <c r="I349" s="203">
        <v>86119.470198675495</v>
      </c>
      <c r="J349" s="56" t="s">
        <v>42</v>
      </c>
      <c r="K349" s="56">
        <v>3</v>
      </c>
      <c r="L349" s="56"/>
      <c r="M349" s="56"/>
      <c r="N349" s="200">
        <v>43862</v>
      </c>
    </row>
    <row r="350" spans="1:14" x14ac:dyDescent="0.35">
      <c r="A350" s="56">
        <v>969501</v>
      </c>
      <c r="B350" s="56" t="s">
        <v>407</v>
      </c>
      <c r="C350" s="203">
        <v>5593</v>
      </c>
      <c r="D350" s="203">
        <v>5662</v>
      </c>
      <c r="E350" s="203">
        <v>49.4</v>
      </c>
      <c r="F350" s="203">
        <v>69</v>
      </c>
      <c r="G350" s="56"/>
      <c r="H350" s="203">
        <v>225.73509933774835</v>
      </c>
      <c r="I350" s="203">
        <v>225.73509933774835</v>
      </c>
      <c r="J350" s="56" t="s">
        <v>42</v>
      </c>
      <c r="K350" s="56">
        <v>3</v>
      </c>
      <c r="L350" s="56"/>
      <c r="M350" s="56"/>
      <c r="N350" s="200">
        <v>43862</v>
      </c>
    </row>
    <row r="351" spans="1:14" x14ac:dyDescent="0.35">
      <c r="A351" s="56">
        <v>969501</v>
      </c>
      <c r="B351" s="56" t="s">
        <v>412</v>
      </c>
      <c r="C351" s="203">
        <v>1689</v>
      </c>
      <c r="D351" s="203">
        <v>1653</v>
      </c>
      <c r="E351" s="203">
        <v>81.25</v>
      </c>
      <c r="F351" s="203">
        <v>36</v>
      </c>
      <c r="G351" s="56"/>
      <c r="H351" s="203">
        <v>193.70860927152319</v>
      </c>
      <c r="I351" s="203">
        <v>193.70860927152319</v>
      </c>
      <c r="J351" s="56" t="s">
        <v>42</v>
      </c>
      <c r="K351" s="56">
        <v>3</v>
      </c>
      <c r="L351" s="56"/>
      <c r="M351" s="56"/>
      <c r="N351" s="200">
        <v>43862</v>
      </c>
    </row>
    <row r="352" spans="1:14" x14ac:dyDescent="0.35">
      <c r="A352" s="56">
        <v>969501</v>
      </c>
      <c r="B352" s="56" t="s">
        <v>409</v>
      </c>
      <c r="C352" s="203">
        <v>1653</v>
      </c>
      <c r="D352" s="203">
        <v>110</v>
      </c>
      <c r="E352" s="203">
        <v>175</v>
      </c>
      <c r="F352" s="203">
        <v>1543</v>
      </c>
      <c r="G352" s="56"/>
      <c r="H352" s="203">
        <v>17882.450331125827</v>
      </c>
      <c r="I352" s="203">
        <v>17882.450331125827</v>
      </c>
      <c r="J352" s="56" t="s">
        <v>42</v>
      </c>
      <c r="K352" s="56">
        <v>3</v>
      </c>
      <c r="L352" s="56"/>
      <c r="M352" s="56"/>
      <c r="N352" s="200">
        <v>43862</v>
      </c>
    </row>
    <row r="353" spans="1:14" x14ac:dyDescent="0.35">
      <c r="A353" s="56">
        <v>969501</v>
      </c>
      <c r="B353" s="56" t="s">
        <v>413</v>
      </c>
      <c r="C353" s="203">
        <v>110</v>
      </c>
      <c r="D353" s="203">
        <v>0</v>
      </c>
      <c r="E353" s="203">
        <v>23.3</v>
      </c>
      <c r="F353" s="203">
        <v>110</v>
      </c>
      <c r="G353" s="56"/>
      <c r="H353" s="203">
        <v>169.73509933774835</v>
      </c>
      <c r="I353" s="203">
        <v>169.73509933774835</v>
      </c>
      <c r="J353" s="56" t="s">
        <v>42</v>
      </c>
      <c r="K353" s="56">
        <v>3</v>
      </c>
      <c r="L353" s="56"/>
      <c r="M353" s="56"/>
      <c r="N353" s="200">
        <v>43862</v>
      </c>
    </row>
    <row r="354" spans="1:14" x14ac:dyDescent="0.35">
      <c r="A354" s="405" t="s">
        <v>404</v>
      </c>
      <c r="B354" s="56" t="s">
        <v>360</v>
      </c>
      <c r="C354" s="203"/>
      <c r="D354" s="203"/>
      <c r="E354" s="203">
        <v>78761.600000000006</v>
      </c>
      <c r="F354" s="203">
        <v>0</v>
      </c>
      <c r="G354" s="56"/>
      <c r="H354" s="203">
        <v>5216.0000000000009</v>
      </c>
      <c r="I354" s="203">
        <v>5216.0000000000009</v>
      </c>
      <c r="J354" s="56" t="s">
        <v>42</v>
      </c>
      <c r="K354" s="56">
        <v>3</v>
      </c>
      <c r="L354" s="56"/>
      <c r="M354" s="56"/>
      <c r="N354" s="200">
        <v>43862</v>
      </c>
    </row>
    <row r="355" spans="1:14" x14ac:dyDescent="0.35">
      <c r="A355" s="56">
        <v>968900</v>
      </c>
      <c r="B355" s="56" t="s">
        <v>401</v>
      </c>
      <c r="C355" s="203"/>
      <c r="D355" s="203"/>
      <c r="E355" s="203">
        <v>6680</v>
      </c>
      <c r="F355" s="203">
        <v>0</v>
      </c>
      <c r="G355" s="56"/>
      <c r="H355" s="203">
        <v>3096.6887417218545</v>
      </c>
      <c r="I355" s="203">
        <v>3096.6887417218545</v>
      </c>
      <c r="J355" s="56" t="s">
        <v>42</v>
      </c>
      <c r="K355" s="56">
        <v>3</v>
      </c>
      <c r="L355" s="56"/>
      <c r="M355" s="56"/>
      <c r="N355" s="200">
        <v>43891</v>
      </c>
    </row>
    <row r="356" spans="1:14" x14ac:dyDescent="0.35">
      <c r="A356" s="56">
        <v>968900</v>
      </c>
      <c r="B356" s="56" t="s">
        <v>401</v>
      </c>
      <c r="C356" s="203"/>
      <c r="D356" s="203"/>
      <c r="E356" s="203">
        <v>2184</v>
      </c>
      <c r="F356" s="203">
        <v>0</v>
      </c>
      <c r="G356" s="56"/>
      <c r="H356" s="203">
        <v>867.81456953642385</v>
      </c>
      <c r="I356" s="203">
        <v>867.81456953642385</v>
      </c>
      <c r="J356" s="56" t="s">
        <v>42</v>
      </c>
      <c r="K356" s="56">
        <v>3</v>
      </c>
      <c r="L356" s="56"/>
      <c r="M356" s="56"/>
      <c r="N356" s="200">
        <v>43891</v>
      </c>
    </row>
    <row r="357" spans="1:14" x14ac:dyDescent="0.35">
      <c r="A357" s="56">
        <v>968900</v>
      </c>
      <c r="B357" s="56" t="s">
        <v>441</v>
      </c>
      <c r="C357" s="203"/>
      <c r="D357" s="203"/>
      <c r="E357" s="203">
        <v>12250</v>
      </c>
      <c r="F357" s="203">
        <v>0</v>
      </c>
      <c r="G357" s="56"/>
      <c r="H357" s="203">
        <v>10546.35761589404</v>
      </c>
      <c r="I357" s="203">
        <v>10546.35761589404</v>
      </c>
      <c r="J357" s="56" t="s">
        <v>42</v>
      </c>
      <c r="K357" s="56">
        <v>3</v>
      </c>
      <c r="L357" s="56"/>
      <c r="M357" s="56"/>
      <c r="N357" s="200">
        <v>43891</v>
      </c>
    </row>
    <row r="358" spans="1:14" x14ac:dyDescent="0.35">
      <c r="A358" s="56">
        <v>968903</v>
      </c>
      <c r="B358" s="56" t="s">
        <v>345</v>
      </c>
      <c r="C358" s="203"/>
      <c r="D358" s="203"/>
      <c r="E358" s="203">
        <v>1872</v>
      </c>
      <c r="F358" s="203">
        <v>0</v>
      </c>
      <c r="G358" s="56"/>
      <c r="H358" s="203">
        <v>1843.509400179051</v>
      </c>
      <c r="I358" s="203">
        <v>1843.509400179051</v>
      </c>
      <c r="J358" s="56" t="s">
        <v>42</v>
      </c>
      <c r="K358" s="56">
        <v>3</v>
      </c>
      <c r="L358" s="56"/>
      <c r="M358" s="56"/>
      <c r="N358" s="200">
        <v>43891</v>
      </c>
    </row>
    <row r="359" spans="1:14" x14ac:dyDescent="0.35">
      <c r="A359" s="56">
        <v>968903</v>
      </c>
      <c r="B359" s="56" t="s">
        <v>440</v>
      </c>
      <c r="C359" s="203"/>
      <c r="D359" s="203"/>
      <c r="E359" s="203">
        <v>3145</v>
      </c>
      <c r="F359" s="203">
        <v>0</v>
      </c>
      <c r="G359" s="56"/>
      <c r="H359" s="203">
        <v>2815.5774395702774</v>
      </c>
      <c r="I359" s="203">
        <v>2815.5774395702774</v>
      </c>
      <c r="J359" s="56" t="s">
        <v>42</v>
      </c>
      <c r="K359" s="56">
        <v>3</v>
      </c>
      <c r="L359" s="56"/>
      <c r="M359" s="56"/>
      <c r="N359" s="200">
        <v>43891</v>
      </c>
    </row>
    <row r="360" spans="1:14" x14ac:dyDescent="0.35">
      <c r="A360" s="56">
        <v>968904</v>
      </c>
      <c r="B360" s="56" t="s">
        <v>436</v>
      </c>
      <c r="C360" s="203"/>
      <c r="D360" s="203"/>
      <c r="E360" s="203">
        <v>15123.8</v>
      </c>
      <c r="F360" s="203">
        <v>0</v>
      </c>
      <c r="G360" s="56"/>
      <c r="H360" s="203">
        <v>13020.490066225166</v>
      </c>
      <c r="I360" s="203">
        <v>13020.490066225166</v>
      </c>
      <c r="J360" s="56" t="s">
        <v>42</v>
      </c>
      <c r="K360" s="56">
        <v>3</v>
      </c>
      <c r="L360" s="56"/>
      <c r="M360" s="56"/>
      <c r="N360" s="200">
        <v>43891</v>
      </c>
    </row>
    <row r="361" spans="1:14" x14ac:dyDescent="0.35">
      <c r="A361" s="56">
        <v>968904</v>
      </c>
      <c r="B361" s="56" t="s">
        <v>437</v>
      </c>
      <c r="C361" s="203"/>
      <c r="D361" s="203"/>
      <c r="E361" s="203">
        <v>10487.7</v>
      </c>
      <c r="F361" s="203">
        <v>0</v>
      </c>
      <c r="G361" s="56"/>
      <c r="H361" s="203">
        <v>9029.1456953642391</v>
      </c>
      <c r="I361" s="203">
        <v>9029.1456953642391</v>
      </c>
      <c r="J361" s="56" t="s">
        <v>42</v>
      </c>
      <c r="K361" s="56">
        <v>3</v>
      </c>
      <c r="L361" s="56"/>
      <c r="M361" s="56"/>
      <c r="N361" s="200">
        <v>43891</v>
      </c>
    </row>
    <row r="362" spans="1:14" x14ac:dyDescent="0.35">
      <c r="A362" s="56">
        <v>968904</v>
      </c>
      <c r="B362" s="56" t="s">
        <v>438</v>
      </c>
      <c r="C362" s="203"/>
      <c r="D362" s="203"/>
      <c r="E362" s="203">
        <v>16721</v>
      </c>
      <c r="F362" s="203">
        <v>0</v>
      </c>
      <c r="G362" s="56"/>
      <c r="H362" s="203">
        <v>13288.211920529802</v>
      </c>
      <c r="I362" s="203">
        <v>13288.211920529802</v>
      </c>
      <c r="J362" s="56" t="s">
        <v>42</v>
      </c>
      <c r="K362" s="56">
        <v>3</v>
      </c>
      <c r="L362" s="56"/>
      <c r="M362" s="56"/>
      <c r="N362" s="200">
        <v>43891</v>
      </c>
    </row>
    <row r="363" spans="1:14" x14ac:dyDescent="0.35">
      <c r="A363" s="56">
        <v>968904</v>
      </c>
      <c r="B363" s="56" t="s">
        <v>439</v>
      </c>
      <c r="C363" s="203"/>
      <c r="D363" s="203"/>
      <c r="E363" s="203">
        <v>4898</v>
      </c>
      <c r="F363" s="203">
        <v>0</v>
      </c>
      <c r="G363" s="56"/>
      <c r="H363" s="203">
        <v>3892.4503311258277</v>
      </c>
      <c r="I363" s="203">
        <v>3892.4503311258277</v>
      </c>
      <c r="J363" s="56" t="s">
        <v>42</v>
      </c>
      <c r="K363" s="56">
        <v>3</v>
      </c>
      <c r="L363" s="56"/>
      <c r="M363" s="56"/>
      <c r="N363" s="200">
        <v>43891</v>
      </c>
    </row>
    <row r="364" spans="1:14" x14ac:dyDescent="0.35">
      <c r="A364" s="56">
        <v>968901</v>
      </c>
      <c r="B364" s="56" t="s">
        <v>261</v>
      </c>
      <c r="C364" s="203"/>
      <c r="D364" s="203"/>
      <c r="E364" s="203">
        <v>9000</v>
      </c>
      <c r="F364" s="203">
        <v>0</v>
      </c>
      <c r="G364" s="56"/>
      <c r="H364" s="203">
        <v>596.02649006622516</v>
      </c>
      <c r="I364" s="203">
        <v>596.02649006622516</v>
      </c>
      <c r="J364" s="56" t="s">
        <v>42</v>
      </c>
      <c r="K364" s="56">
        <v>3</v>
      </c>
      <c r="L364" s="56"/>
      <c r="M364" s="56"/>
      <c r="N364" s="200">
        <v>43891</v>
      </c>
    </row>
    <row r="365" spans="1:14" x14ac:dyDescent="0.35">
      <c r="A365" s="56">
        <v>968901</v>
      </c>
      <c r="B365" s="56" t="s">
        <v>423</v>
      </c>
      <c r="C365" s="203"/>
      <c r="D365" s="203"/>
      <c r="E365" s="203">
        <v>300</v>
      </c>
      <c r="F365" s="203">
        <v>0</v>
      </c>
      <c r="G365" s="56"/>
      <c r="H365" s="203">
        <v>119.20529801324504</v>
      </c>
      <c r="I365" s="203">
        <v>119.20529801324504</v>
      </c>
      <c r="J365" s="56" t="s">
        <v>42</v>
      </c>
      <c r="K365" s="56">
        <v>3</v>
      </c>
      <c r="L365" s="56"/>
      <c r="M365" s="56"/>
      <c r="N365" s="200">
        <v>43891</v>
      </c>
    </row>
    <row r="366" spans="1:14" x14ac:dyDescent="0.35">
      <c r="A366" s="56">
        <v>968901</v>
      </c>
      <c r="B366" s="56" t="s">
        <v>423</v>
      </c>
      <c r="C366" s="203"/>
      <c r="D366" s="203"/>
      <c r="E366" s="203">
        <v>2675</v>
      </c>
      <c r="F366" s="203">
        <v>0</v>
      </c>
      <c r="G366" s="56"/>
      <c r="H366" s="203">
        <v>1062.9139072847681</v>
      </c>
      <c r="I366" s="203">
        <v>1062.9139072847681</v>
      </c>
      <c r="J366" s="56" t="s">
        <v>42</v>
      </c>
      <c r="K366" s="56">
        <v>3</v>
      </c>
      <c r="L366" s="56"/>
      <c r="M366" s="56"/>
      <c r="N366" s="200">
        <v>43891</v>
      </c>
    </row>
    <row r="367" spans="1:14" x14ac:dyDescent="0.35">
      <c r="A367" s="56">
        <v>968901</v>
      </c>
      <c r="B367" s="56" t="s">
        <v>423</v>
      </c>
      <c r="C367" s="203"/>
      <c r="D367" s="203"/>
      <c r="E367" s="203">
        <v>420</v>
      </c>
      <c r="F367" s="203">
        <v>0</v>
      </c>
      <c r="G367" s="56"/>
      <c r="H367" s="203">
        <v>250.33112582781459</v>
      </c>
      <c r="I367" s="203">
        <v>250.33112582781459</v>
      </c>
      <c r="J367" s="56" t="s">
        <v>42</v>
      </c>
      <c r="K367" s="56">
        <v>3</v>
      </c>
      <c r="L367" s="56"/>
      <c r="M367" s="56"/>
      <c r="N367" s="200">
        <v>43891</v>
      </c>
    </row>
    <row r="368" spans="1:14" x14ac:dyDescent="0.35">
      <c r="A368" s="405" t="s">
        <v>404</v>
      </c>
      <c r="B368" s="56" t="s">
        <v>360</v>
      </c>
      <c r="C368" s="203"/>
      <c r="D368" s="203"/>
      <c r="E368" s="203">
        <v>50479.299999999996</v>
      </c>
      <c r="F368" s="203">
        <v>0</v>
      </c>
      <c r="G368" s="56"/>
      <c r="H368" s="203">
        <v>3343</v>
      </c>
      <c r="I368" s="203">
        <v>3343</v>
      </c>
      <c r="J368" s="56" t="s">
        <v>42</v>
      </c>
      <c r="K368" s="56">
        <v>3</v>
      </c>
      <c r="L368" s="56"/>
      <c r="M368" s="56"/>
      <c r="N368" s="200">
        <v>43891</v>
      </c>
    </row>
    <row r="369" spans="1:14" x14ac:dyDescent="0.35">
      <c r="A369" s="405" t="s">
        <v>444</v>
      </c>
      <c r="B369" s="56" t="s">
        <v>433</v>
      </c>
      <c r="C369" s="203"/>
      <c r="D369" s="203"/>
      <c r="E369" s="203">
        <v>3977.3399999999997</v>
      </c>
      <c r="F369" s="203">
        <v>0</v>
      </c>
      <c r="G369" s="56"/>
      <c r="H369" s="203">
        <v>263.39999999999998</v>
      </c>
      <c r="I369" s="203">
        <v>263.39999999999998</v>
      </c>
      <c r="J369" s="56" t="s">
        <v>42</v>
      </c>
      <c r="K369" s="56">
        <v>3</v>
      </c>
      <c r="L369" s="56"/>
      <c r="M369" s="56"/>
      <c r="N369" s="200">
        <v>43891</v>
      </c>
    </row>
    <row r="370" spans="1:14" x14ac:dyDescent="0.35">
      <c r="A370" s="56">
        <v>969500</v>
      </c>
      <c r="B370" s="56" t="s">
        <v>406</v>
      </c>
      <c r="C370" s="203">
        <v>3080</v>
      </c>
      <c r="D370" s="203">
        <v>0</v>
      </c>
      <c r="E370" s="203">
        <v>174.6</v>
      </c>
      <c r="F370" s="203">
        <v>3080</v>
      </c>
      <c r="G370" s="56"/>
      <c r="H370" s="203">
        <v>35613.774834437085</v>
      </c>
      <c r="I370" s="203">
        <v>35613.774834437085</v>
      </c>
      <c r="J370" s="56" t="s">
        <v>42</v>
      </c>
      <c r="K370" s="56">
        <v>3</v>
      </c>
      <c r="L370" s="56"/>
      <c r="M370" s="56"/>
      <c r="N370" s="200">
        <v>43891</v>
      </c>
    </row>
    <row r="371" spans="1:14" x14ac:dyDescent="0.35">
      <c r="A371" s="56">
        <v>969500</v>
      </c>
      <c r="B371" s="56" t="s">
        <v>428</v>
      </c>
      <c r="C371" s="203">
        <v>0</v>
      </c>
      <c r="D371" s="203">
        <v>277</v>
      </c>
      <c r="E371" s="203">
        <v>400.6</v>
      </c>
      <c r="F371" s="203">
        <v>277</v>
      </c>
      <c r="G371" s="56"/>
      <c r="H371" s="203">
        <v>7348.754966887418</v>
      </c>
      <c r="I371" s="203">
        <v>7348.754966887418</v>
      </c>
      <c r="J371" s="56" t="s">
        <v>42</v>
      </c>
      <c r="K371" s="56">
        <v>3</v>
      </c>
      <c r="L371" s="56"/>
      <c r="M371" s="56"/>
      <c r="N371" s="200">
        <v>43891</v>
      </c>
    </row>
    <row r="372" spans="1:14" x14ac:dyDescent="0.35">
      <c r="A372" s="56">
        <v>969500</v>
      </c>
      <c r="B372" s="56" t="s">
        <v>428</v>
      </c>
      <c r="C372" s="203">
        <v>210</v>
      </c>
      <c r="D372" s="203">
        <v>277</v>
      </c>
      <c r="E372" s="203">
        <v>95.4</v>
      </c>
      <c r="F372" s="203">
        <v>67</v>
      </c>
      <c r="G372" s="56"/>
      <c r="H372" s="203">
        <v>423.29801324503313</v>
      </c>
      <c r="I372" s="203">
        <v>423.29801324503313</v>
      </c>
      <c r="J372" s="56" t="s">
        <v>42</v>
      </c>
      <c r="K372" s="56">
        <v>3</v>
      </c>
      <c r="L372" s="56"/>
      <c r="M372" s="56"/>
      <c r="N372" s="200">
        <v>43891</v>
      </c>
    </row>
    <row r="373" spans="1:14" x14ac:dyDescent="0.35">
      <c r="A373" s="56">
        <v>969500</v>
      </c>
      <c r="B373" s="56" t="s">
        <v>425</v>
      </c>
      <c r="C373" s="203">
        <v>0</v>
      </c>
      <c r="D373" s="203">
        <v>93</v>
      </c>
      <c r="E373" s="203">
        <v>400.6</v>
      </c>
      <c r="F373" s="203">
        <v>93</v>
      </c>
      <c r="G373" s="56"/>
      <c r="H373" s="203">
        <v>2467.2715231788084</v>
      </c>
      <c r="I373" s="203">
        <v>2467.2715231788084</v>
      </c>
      <c r="J373" s="56" t="s">
        <v>42</v>
      </c>
      <c r="K373" s="56">
        <v>3</v>
      </c>
      <c r="L373" s="56"/>
      <c r="M373" s="56"/>
      <c r="N373" s="200">
        <v>43891</v>
      </c>
    </row>
    <row r="374" spans="1:14" x14ac:dyDescent="0.35">
      <c r="A374" s="56">
        <v>969500</v>
      </c>
      <c r="B374" s="56" t="s">
        <v>371</v>
      </c>
      <c r="C374" s="203">
        <v>175</v>
      </c>
      <c r="D374" s="203">
        <v>2875</v>
      </c>
      <c r="E374" s="203">
        <v>226</v>
      </c>
      <c r="F374" s="203">
        <v>2700</v>
      </c>
      <c r="G374" s="56"/>
      <c r="H374" s="203">
        <v>40410.596026490064</v>
      </c>
      <c r="I374" s="203">
        <v>40410.596026490064</v>
      </c>
      <c r="J374" s="56" t="s">
        <v>42</v>
      </c>
      <c r="K374" s="56">
        <v>3</v>
      </c>
      <c r="L374" s="56"/>
      <c r="M374" s="56"/>
      <c r="N374" s="200">
        <v>43891</v>
      </c>
    </row>
    <row r="375" spans="1:14" x14ac:dyDescent="0.35">
      <c r="A375" s="56">
        <v>969501</v>
      </c>
      <c r="B375" s="56" t="s">
        <v>407</v>
      </c>
      <c r="C375" s="203">
        <v>5753</v>
      </c>
      <c r="D375" s="203">
        <v>5885</v>
      </c>
      <c r="E375" s="203">
        <v>226</v>
      </c>
      <c r="F375" s="203">
        <v>132</v>
      </c>
      <c r="G375" s="56"/>
      <c r="H375" s="203">
        <v>1975.6291390728477</v>
      </c>
      <c r="I375" s="203">
        <v>1975.6291390728477</v>
      </c>
      <c r="J375" s="56" t="s">
        <v>42</v>
      </c>
      <c r="K375" s="56">
        <v>3</v>
      </c>
      <c r="L375" s="56"/>
      <c r="M375" s="56"/>
      <c r="N375" s="200">
        <v>43891</v>
      </c>
    </row>
    <row r="376" spans="1:14" x14ac:dyDescent="0.35">
      <c r="A376" s="56">
        <v>969501</v>
      </c>
      <c r="B376" s="56" t="s">
        <v>407</v>
      </c>
      <c r="C376" s="203">
        <v>5593</v>
      </c>
      <c r="D376" s="203">
        <v>0</v>
      </c>
      <c r="E376" s="203">
        <v>174.6</v>
      </c>
      <c r="F376" s="203">
        <v>5593</v>
      </c>
      <c r="G376" s="56"/>
      <c r="H376" s="203">
        <v>64671.377483443706</v>
      </c>
      <c r="I376" s="203">
        <v>64671.377483443706</v>
      </c>
      <c r="J376" s="56" t="s">
        <v>42</v>
      </c>
      <c r="K376" s="56">
        <v>3</v>
      </c>
      <c r="L376" s="56"/>
      <c r="M376" s="56"/>
      <c r="N376" s="200">
        <v>43891</v>
      </c>
    </row>
    <row r="377" spans="1:14" x14ac:dyDescent="0.35">
      <c r="A377" s="56">
        <v>969501</v>
      </c>
      <c r="B377" s="56" t="s">
        <v>407</v>
      </c>
      <c r="C377" s="203">
        <v>5593</v>
      </c>
      <c r="D377" s="203">
        <v>5804</v>
      </c>
      <c r="E377" s="203">
        <v>287.27</v>
      </c>
      <c r="F377" s="203">
        <v>211</v>
      </c>
      <c r="G377" s="56"/>
      <c r="H377" s="203">
        <v>4014.1701986754965</v>
      </c>
      <c r="I377" s="203">
        <v>4014.1701986754965</v>
      </c>
      <c r="J377" s="56" t="s">
        <v>42</v>
      </c>
      <c r="K377" s="56">
        <v>3</v>
      </c>
      <c r="L377" s="56"/>
      <c r="M377" s="56"/>
      <c r="N377" s="200">
        <v>43891</v>
      </c>
    </row>
    <row r="378" spans="1:14" x14ac:dyDescent="0.35">
      <c r="A378" s="56">
        <v>969501</v>
      </c>
      <c r="B378" s="56" t="s">
        <v>427</v>
      </c>
      <c r="C378" s="203">
        <v>0</v>
      </c>
      <c r="D378" s="203">
        <v>294</v>
      </c>
      <c r="E378" s="203">
        <v>400.6</v>
      </c>
      <c r="F378" s="203">
        <v>294</v>
      </c>
      <c r="G378" s="56"/>
      <c r="H378" s="203">
        <v>7799.7615894039745</v>
      </c>
      <c r="I378" s="203">
        <v>7799.7615894039745</v>
      </c>
      <c r="J378" s="56" t="s">
        <v>42</v>
      </c>
      <c r="K378" s="56">
        <v>3</v>
      </c>
      <c r="L378" s="56"/>
      <c r="M378" s="56"/>
      <c r="N378" s="200">
        <v>43891</v>
      </c>
    </row>
    <row r="379" spans="1:14" x14ac:dyDescent="0.35">
      <c r="A379" s="56">
        <v>969501</v>
      </c>
      <c r="B379" s="56" t="s">
        <v>429</v>
      </c>
      <c r="C379" s="203">
        <v>0</v>
      </c>
      <c r="D379" s="203">
        <v>298</v>
      </c>
      <c r="E379" s="203">
        <v>400.6</v>
      </c>
      <c r="F379" s="203">
        <v>298</v>
      </c>
      <c r="G379" s="56"/>
      <c r="H379" s="203">
        <v>7905.8807947019868</v>
      </c>
      <c r="I379" s="203">
        <v>7905.8807947019868</v>
      </c>
      <c r="J379" s="56" t="s">
        <v>42</v>
      </c>
      <c r="K379" s="56">
        <v>3</v>
      </c>
      <c r="L379" s="56"/>
      <c r="M379" s="56"/>
      <c r="N379" s="200">
        <v>43891</v>
      </c>
    </row>
    <row r="380" spans="1:14" x14ac:dyDescent="0.35">
      <c r="A380" s="56">
        <v>969501</v>
      </c>
      <c r="B380" s="56" t="s">
        <v>430</v>
      </c>
      <c r="C380" s="203">
        <v>0</v>
      </c>
      <c r="D380" s="203">
        <v>299</v>
      </c>
      <c r="E380" s="203">
        <v>400.6</v>
      </c>
      <c r="F380" s="203">
        <v>299</v>
      </c>
      <c r="G380" s="56"/>
      <c r="H380" s="203">
        <v>7932.4105960264906</v>
      </c>
      <c r="I380" s="203">
        <v>7932.4105960264906</v>
      </c>
      <c r="J380" s="56" t="s">
        <v>42</v>
      </c>
      <c r="K380" s="56">
        <v>3</v>
      </c>
      <c r="L380" s="56"/>
      <c r="M380" s="56"/>
      <c r="N380" s="200">
        <v>43891</v>
      </c>
    </row>
    <row r="381" spans="1:14" x14ac:dyDescent="0.35">
      <c r="A381" s="56">
        <v>969501</v>
      </c>
      <c r="B381" s="56" t="s">
        <v>431</v>
      </c>
      <c r="C381" s="203">
        <v>0</v>
      </c>
      <c r="D381" s="203">
        <v>292</v>
      </c>
      <c r="E381" s="203">
        <v>400.6</v>
      </c>
      <c r="F381" s="203">
        <v>292</v>
      </c>
      <c r="G381" s="56"/>
      <c r="H381" s="203">
        <v>7746.7019867549679</v>
      </c>
      <c r="I381" s="203">
        <v>7746.7019867549679</v>
      </c>
      <c r="J381" s="56" t="s">
        <v>42</v>
      </c>
      <c r="K381" s="56">
        <v>3</v>
      </c>
      <c r="L381" s="56"/>
      <c r="M381" s="56"/>
      <c r="N381" s="200">
        <v>43891</v>
      </c>
    </row>
    <row r="382" spans="1:14" x14ac:dyDescent="0.35">
      <c r="A382" s="56">
        <v>969501</v>
      </c>
      <c r="B382" s="56" t="s">
        <v>435</v>
      </c>
      <c r="C382" s="203">
        <v>0</v>
      </c>
      <c r="D382" s="203">
        <v>25</v>
      </c>
      <c r="E382" s="203">
        <v>149.4</v>
      </c>
      <c r="F382" s="203">
        <v>25</v>
      </c>
      <c r="G382" s="56"/>
      <c r="H382" s="203">
        <v>247.35099337748346</v>
      </c>
      <c r="I382" s="203">
        <v>247.35099337748346</v>
      </c>
      <c r="J382" s="56" t="s">
        <v>42</v>
      </c>
      <c r="K382" s="56">
        <v>3</v>
      </c>
      <c r="L382" s="56"/>
      <c r="M382" s="56"/>
      <c r="N382" s="200">
        <v>43891</v>
      </c>
    </row>
    <row r="383" spans="1:14" x14ac:dyDescent="0.35">
      <c r="A383" s="405">
        <v>969502</v>
      </c>
      <c r="B383" s="56" t="s">
        <v>432</v>
      </c>
      <c r="C383" s="203">
        <v>0</v>
      </c>
      <c r="D383" s="203">
        <v>3493</v>
      </c>
      <c r="E383" s="203">
        <v>226</v>
      </c>
      <c r="F383" s="203">
        <v>3493</v>
      </c>
      <c r="G383" s="56"/>
      <c r="H383" s="203">
        <v>52279.337748344369</v>
      </c>
      <c r="I383" s="203">
        <v>52279.337748344369</v>
      </c>
      <c r="J383" s="56" t="s">
        <v>42</v>
      </c>
      <c r="K383" s="56">
        <v>3</v>
      </c>
      <c r="L383" s="56"/>
      <c r="M383" s="56"/>
      <c r="N383" s="200">
        <v>43891</v>
      </c>
    </row>
    <row r="384" spans="1:14" x14ac:dyDescent="0.35">
      <c r="A384" s="56">
        <v>969502</v>
      </c>
      <c r="B384" s="56" t="s">
        <v>432</v>
      </c>
      <c r="C384" s="203">
        <v>3539</v>
      </c>
      <c r="D384" s="203">
        <v>3615</v>
      </c>
      <c r="E384" s="203">
        <v>226</v>
      </c>
      <c r="F384" s="203">
        <v>76</v>
      </c>
      <c r="G384" s="56"/>
      <c r="H384" s="203">
        <v>1137.4834437086092</v>
      </c>
      <c r="I384" s="203">
        <v>1137.4834437086092</v>
      </c>
      <c r="J384" s="56" t="s">
        <v>42</v>
      </c>
      <c r="K384" s="56">
        <v>3</v>
      </c>
      <c r="L384" s="56"/>
      <c r="M384" s="56"/>
      <c r="N384" s="200">
        <v>43891</v>
      </c>
    </row>
    <row r="385" spans="1:14" x14ac:dyDescent="0.35">
      <c r="A385" s="56">
        <v>969502</v>
      </c>
      <c r="B385" s="56" t="s">
        <v>432</v>
      </c>
      <c r="C385" s="203">
        <v>3493</v>
      </c>
      <c r="D385" s="203">
        <v>0</v>
      </c>
      <c r="E385" s="203">
        <v>174.6</v>
      </c>
      <c r="F385" s="203">
        <v>3493</v>
      </c>
      <c r="G385" s="56"/>
      <c r="H385" s="203">
        <v>40389.258278145695</v>
      </c>
      <c r="I385" s="203">
        <v>40389.258278145695</v>
      </c>
      <c r="J385" s="56" t="s">
        <v>42</v>
      </c>
      <c r="K385" s="56">
        <v>3</v>
      </c>
      <c r="L385" s="56"/>
      <c r="M385" s="56"/>
      <c r="N385" s="200">
        <v>43891</v>
      </c>
    </row>
    <row r="386" spans="1:14" x14ac:dyDescent="0.35">
      <c r="A386" s="56">
        <v>968900</v>
      </c>
      <c r="B386" s="56" t="s">
        <v>441</v>
      </c>
      <c r="C386" s="203"/>
      <c r="D386" s="203"/>
      <c r="E386" s="203">
        <v>11612</v>
      </c>
      <c r="F386" s="203">
        <v>0</v>
      </c>
      <c r="G386" s="56"/>
      <c r="H386" s="203">
        <v>9074.2781456953653</v>
      </c>
      <c r="I386" s="203">
        <v>9074.2781456953653</v>
      </c>
      <c r="J386" s="56" t="s">
        <v>42</v>
      </c>
      <c r="K386" s="56">
        <v>3</v>
      </c>
      <c r="L386" s="56"/>
      <c r="M386" s="56"/>
      <c r="N386" s="200">
        <v>43922</v>
      </c>
    </row>
    <row r="387" spans="1:14" x14ac:dyDescent="0.35">
      <c r="A387" s="56">
        <v>968901</v>
      </c>
      <c r="B387" s="56" t="s">
        <v>137</v>
      </c>
      <c r="C387" s="203"/>
      <c r="D387" s="203"/>
      <c r="E387" s="203"/>
      <c r="F387" s="203">
        <v>0</v>
      </c>
      <c r="G387" s="56"/>
      <c r="H387" s="203">
        <v>0</v>
      </c>
      <c r="I387" s="203">
        <v>0</v>
      </c>
      <c r="J387" s="56"/>
      <c r="K387" s="56"/>
      <c r="L387" s="56"/>
      <c r="M387" s="56"/>
      <c r="N387" s="200">
        <v>43922</v>
      </c>
    </row>
    <row r="388" spans="1:14" x14ac:dyDescent="0.35">
      <c r="A388" s="56">
        <v>968903</v>
      </c>
      <c r="B388" s="56" t="s">
        <v>457</v>
      </c>
      <c r="C388" s="203"/>
      <c r="D388" s="203"/>
      <c r="E388" s="203">
        <v>6022</v>
      </c>
      <c r="F388" s="203">
        <v>0</v>
      </c>
      <c r="G388" s="56"/>
      <c r="H388" s="203">
        <v>4852.1038495971352</v>
      </c>
      <c r="I388" s="203">
        <v>4852.1038495971352</v>
      </c>
      <c r="J388" s="56" t="s">
        <v>42</v>
      </c>
      <c r="K388" s="56">
        <v>3</v>
      </c>
      <c r="L388" s="56"/>
      <c r="M388" s="56"/>
      <c r="N388" s="200">
        <v>43922</v>
      </c>
    </row>
    <row r="389" spans="1:14" x14ac:dyDescent="0.35">
      <c r="A389" s="56">
        <v>968903</v>
      </c>
      <c r="B389" s="56" t="s">
        <v>458</v>
      </c>
      <c r="C389" s="203"/>
      <c r="D389" s="203"/>
      <c r="E389" s="203">
        <v>782</v>
      </c>
      <c r="F389" s="203">
        <v>0</v>
      </c>
      <c r="G389" s="56"/>
      <c r="H389" s="203">
        <v>840.1074306177261</v>
      </c>
      <c r="I389" s="203">
        <v>840.1074306177261</v>
      </c>
      <c r="J389" s="56" t="s">
        <v>42</v>
      </c>
      <c r="K389" s="56">
        <v>3</v>
      </c>
      <c r="L389" s="56"/>
      <c r="M389" s="56"/>
      <c r="N389" s="200">
        <v>43922</v>
      </c>
    </row>
    <row r="390" spans="1:14" x14ac:dyDescent="0.35">
      <c r="A390" s="56">
        <v>968904</v>
      </c>
      <c r="B390" s="56" t="s">
        <v>459</v>
      </c>
      <c r="C390" s="203"/>
      <c r="D390" s="203"/>
      <c r="E390" s="203">
        <v>4580</v>
      </c>
      <c r="F390" s="203">
        <v>0</v>
      </c>
      <c r="G390" s="56"/>
      <c r="H390" s="203">
        <v>3336.4238410596026</v>
      </c>
      <c r="I390" s="203">
        <v>3336.4238410596026</v>
      </c>
      <c r="J390" s="56" t="s">
        <v>42</v>
      </c>
      <c r="K390" s="56">
        <v>3</v>
      </c>
      <c r="L390" s="56"/>
      <c r="M390" s="56"/>
      <c r="N390" s="200">
        <v>43922</v>
      </c>
    </row>
    <row r="391" spans="1:14" x14ac:dyDescent="0.35">
      <c r="A391" s="56">
        <v>968904</v>
      </c>
      <c r="B391" s="56" t="s">
        <v>460</v>
      </c>
      <c r="C391" s="203"/>
      <c r="D391" s="203"/>
      <c r="E391" s="203">
        <v>3727</v>
      </c>
      <c r="F391" s="203">
        <v>0</v>
      </c>
      <c r="G391" s="56"/>
      <c r="H391" s="203">
        <v>2961.8543046357618</v>
      </c>
      <c r="I391" s="203">
        <v>2961.8543046357618</v>
      </c>
      <c r="J391" s="56" t="s">
        <v>42</v>
      </c>
      <c r="K391" s="56">
        <v>3</v>
      </c>
      <c r="L391" s="56"/>
      <c r="M391" s="56"/>
      <c r="N391" s="200">
        <v>43922</v>
      </c>
    </row>
    <row r="392" spans="1:14" x14ac:dyDescent="0.35">
      <c r="A392" s="56">
        <v>968904</v>
      </c>
      <c r="B392" s="56" t="s">
        <v>459</v>
      </c>
      <c r="C392" s="203"/>
      <c r="D392" s="203"/>
      <c r="E392" s="203">
        <v>2662</v>
      </c>
      <c r="F392" s="203">
        <v>0</v>
      </c>
      <c r="G392" s="56"/>
      <c r="H392" s="203">
        <v>11635.231788079471</v>
      </c>
      <c r="I392" s="203">
        <v>11635.231788079471</v>
      </c>
      <c r="J392" s="56" t="s">
        <v>42</v>
      </c>
      <c r="K392" s="56">
        <v>3</v>
      </c>
      <c r="L392" s="56"/>
      <c r="M392" s="56"/>
      <c r="N392" s="200">
        <v>43922</v>
      </c>
    </row>
    <row r="393" spans="1:14" x14ac:dyDescent="0.35">
      <c r="A393" s="56">
        <v>968904</v>
      </c>
      <c r="B393" s="56" t="s">
        <v>335</v>
      </c>
      <c r="C393" s="203"/>
      <c r="D393" s="203"/>
      <c r="E393" s="203">
        <v>1484</v>
      </c>
      <c r="F393" s="203">
        <v>0</v>
      </c>
      <c r="G393" s="56"/>
      <c r="H393" s="203">
        <v>7567.4172185430461</v>
      </c>
      <c r="I393" s="203">
        <v>7567.4172185430461</v>
      </c>
      <c r="J393" s="56" t="s">
        <v>42</v>
      </c>
      <c r="K393" s="56">
        <v>3</v>
      </c>
      <c r="L393" s="56"/>
      <c r="M393" s="56"/>
      <c r="N393" s="200">
        <v>43922</v>
      </c>
    </row>
    <row r="394" spans="1:14" x14ac:dyDescent="0.35">
      <c r="A394" s="56">
        <v>968904</v>
      </c>
      <c r="B394" s="56" t="s">
        <v>335</v>
      </c>
      <c r="C394" s="203"/>
      <c r="D394" s="203"/>
      <c r="E394" s="203">
        <v>12117.5</v>
      </c>
      <c r="F394" s="203">
        <v>0</v>
      </c>
      <c r="G394" s="56"/>
      <c r="H394" s="203">
        <v>9629.8013245033108</v>
      </c>
      <c r="I394" s="203">
        <v>9629.8013245033108</v>
      </c>
      <c r="J394" s="56" t="s">
        <v>42</v>
      </c>
      <c r="K394" s="56">
        <v>3</v>
      </c>
      <c r="L394" s="56"/>
      <c r="M394" s="56"/>
      <c r="N394" s="200">
        <v>43922</v>
      </c>
    </row>
    <row r="395" spans="1:14" x14ac:dyDescent="0.35">
      <c r="A395" s="58" t="s">
        <v>464</v>
      </c>
      <c r="B395" s="56" t="s">
        <v>453</v>
      </c>
      <c r="C395" s="203"/>
      <c r="D395" s="203"/>
      <c r="E395" s="203">
        <v>422.5</v>
      </c>
      <c r="F395" s="203">
        <v>0</v>
      </c>
      <c r="G395" s="56"/>
      <c r="H395" s="203">
        <v>377.73178807947022</v>
      </c>
      <c r="I395" s="203">
        <v>377.73178807947022</v>
      </c>
      <c r="J395" s="56" t="s">
        <v>42</v>
      </c>
      <c r="K395" s="56">
        <v>3</v>
      </c>
      <c r="L395" s="56"/>
      <c r="M395" s="56"/>
      <c r="N395" s="200">
        <v>43922</v>
      </c>
    </row>
    <row r="396" spans="1:14" x14ac:dyDescent="0.35">
      <c r="A396" s="58" t="s">
        <v>422</v>
      </c>
      <c r="B396" s="56" t="s">
        <v>433</v>
      </c>
      <c r="C396" s="203"/>
      <c r="D396" s="203"/>
      <c r="E396" s="203">
        <v>25352.9</v>
      </c>
      <c r="F396" s="203">
        <v>0</v>
      </c>
      <c r="G396" s="56"/>
      <c r="H396" s="203">
        <v>1679.0000000000002</v>
      </c>
      <c r="I396" s="203">
        <v>1679.0000000000002</v>
      </c>
      <c r="J396" s="56" t="s">
        <v>42</v>
      </c>
      <c r="K396" s="56">
        <v>3</v>
      </c>
      <c r="L396" s="56"/>
      <c r="M396" s="56"/>
      <c r="N396" s="200">
        <v>43922</v>
      </c>
    </row>
    <row r="397" spans="1:14" x14ac:dyDescent="0.35">
      <c r="A397" s="58">
        <v>969500</v>
      </c>
      <c r="B397" s="56" t="s">
        <v>445</v>
      </c>
      <c r="C397" s="203">
        <v>2875</v>
      </c>
      <c r="D397" s="203">
        <v>4726</v>
      </c>
      <c r="E397" s="203">
        <v>226</v>
      </c>
      <c r="F397" s="203">
        <v>1851</v>
      </c>
      <c r="G397" s="56"/>
      <c r="H397" s="203">
        <v>27703.708609271525</v>
      </c>
      <c r="I397" s="203">
        <v>27703.708609271525</v>
      </c>
      <c r="J397" s="56" t="s">
        <v>42</v>
      </c>
      <c r="K397" s="56">
        <v>3</v>
      </c>
      <c r="L397" s="56"/>
      <c r="M397" s="56"/>
      <c r="N397" s="200">
        <v>43922</v>
      </c>
    </row>
    <row r="398" spans="1:14" x14ac:dyDescent="0.35">
      <c r="A398" s="58">
        <v>969500</v>
      </c>
      <c r="B398" s="56" t="s">
        <v>445</v>
      </c>
      <c r="C398" s="203">
        <v>4605</v>
      </c>
      <c r="D398" s="203">
        <v>179</v>
      </c>
      <c r="E398" s="203">
        <v>174.6</v>
      </c>
      <c r="F398" s="203">
        <v>4426</v>
      </c>
      <c r="G398" s="56"/>
      <c r="H398" s="203">
        <v>51177.456953642381</v>
      </c>
      <c r="I398" s="203">
        <v>51177.456953642381</v>
      </c>
      <c r="J398" s="56" t="s">
        <v>42</v>
      </c>
      <c r="K398" s="56">
        <v>3</v>
      </c>
      <c r="L398" s="56"/>
      <c r="M398" s="56"/>
      <c r="N398" s="200">
        <v>43922</v>
      </c>
    </row>
    <row r="399" spans="1:14" x14ac:dyDescent="0.35">
      <c r="A399" s="58">
        <v>969500</v>
      </c>
      <c r="B399" s="56" t="s">
        <v>446</v>
      </c>
      <c r="C399" s="203">
        <v>0</v>
      </c>
      <c r="D399" s="203">
        <v>284</v>
      </c>
      <c r="E399" s="203">
        <v>427.76</v>
      </c>
      <c r="F399" s="203">
        <v>284</v>
      </c>
      <c r="G399" s="56"/>
      <c r="H399" s="203">
        <v>8045.2874172185429</v>
      </c>
      <c r="I399" s="203">
        <v>8045.2874172185429</v>
      </c>
      <c r="J399" s="56" t="s">
        <v>42</v>
      </c>
      <c r="K399" s="56">
        <v>3</v>
      </c>
      <c r="L399" s="56"/>
      <c r="M399" s="56"/>
      <c r="N399" s="200">
        <v>43922</v>
      </c>
    </row>
    <row r="400" spans="1:14" x14ac:dyDescent="0.35">
      <c r="A400" s="58">
        <v>969500</v>
      </c>
      <c r="B400" s="56" t="s">
        <v>447</v>
      </c>
      <c r="C400" s="203">
        <v>0</v>
      </c>
      <c r="D400" s="203">
        <v>255</v>
      </c>
      <c r="E400" s="203">
        <v>406</v>
      </c>
      <c r="F400" s="203">
        <v>255</v>
      </c>
      <c r="G400" s="56"/>
      <c r="H400" s="203">
        <v>6856.2913907284774</v>
      </c>
      <c r="I400" s="203">
        <v>6856.2913907284774</v>
      </c>
      <c r="J400" s="56" t="s">
        <v>42</v>
      </c>
      <c r="K400" s="56">
        <v>3</v>
      </c>
      <c r="L400" s="56"/>
      <c r="M400" s="56"/>
      <c r="N400" s="200">
        <v>43922</v>
      </c>
    </row>
    <row r="401" spans="1:14" x14ac:dyDescent="0.35">
      <c r="A401" s="58">
        <v>969500</v>
      </c>
      <c r="B401" s="56" t="s">
        <v>448</v>
      </c>
      <c r="C401" s="203">
        <v>0</v>
      </c>
      <c r="D401" s="203">
        <v>300</v>
      </c>
      <c r="E401" s="203">
        <v>400.6</v>
      </c>
      <c r="F401" s="203">
        <v>300</v>
      </c>
      <c r="G401" s="56"/>
      <c r="H401" s="203">
        <v>7958.9403973509934</v>
      </c>
      <c r="I401" s="203">
        <v>7958.9403973509934</v>
      </c>
      <c r="J401" s="56" t="s">
        <v>42</v>
      </c>
      <c r="K401" s="56">
        <v>3</v>
      </c>
      <c r="L401" s="56"/>
      <c r="M401" s="56"/>
      <c r="N401" s="200">
        <v>43922</v>
      </c>
    </row>
    <row r="402" spans="1:14" x14ac:dyDescent="0.35">
      <c r="A402" s="58">
        <v>969500</v>
      </c>
      <c r="B402" s="56" t="s">
        <v>449</v>
      </c>
      <c r="C402" s="203">
        <v>0</v>
      </c>
      <c r="D402" s="203">
        <v>255</v>
      </c>
      <c r="E402" s="203">
        <v>402</v>
      </c>
      <c r="F402" s="203">
        <v>255</v>
      </c>
      <c r="G402" s="56"/>
      <c r="H402" s="203">
        <v>6788.7417218543051</v>
      </c>
      <c r="I402" s="203">
        <v>6788.7417218543051</v>
      </c>
      <c r="J402" s="56" t="s">
        <v>42</v>
      </c>
      <c r="K402" s="56">
        <v>3</v>
      </c>
      <c r="L402" s="56"/>
      <c r="M402" s="56"/>
      <c r="N402" s="200">
        <v>43922</v>
      </c>
    </row>
    <row r="403" spans="1:14" x14ac:dyDescent="0.35">
      <c r="A403" s="58">
        <v>969500</v>
      </c>
      <c r="B403" s="56" t="s">
        <v>450</v>
      </c>
      <c r="C403" s="203">
        <v>0</v>
      </c>
      <c r="D403" s="203">
        <v>70</v>
      </c>
      <c r="E403" s="203">
        <v>226</v>
      </c>
      <c r="F403" s="203">
        <v>70</v>
      </c>
      <c r="G403" s="56"/>
      <c r="H403" s="203">
        <v>1047.682119205298</v>
      </c>
      <c r="I403" s="203">
        <v>1047.682119205298</v>
      </c>
      <c r="J403" s="56" t="s">
        <v>42</v>
      </c>
      <c r="K403" s="56">
        <v>3</v>
      </c>
      <c r="L403" s="56"/>
      <c r="M403" s="56"/>
      <c r="N403" s="200">
        <v>43922</v>
      </c>
    </row>
    <row r="404" spans="1:14" x14ac:dyDescent="0.35">
      <c r="A404" s="58">
        <v>969500</v>
      </c>
      <c r="B404" s="56" t="s">
        <v>451</v>
      </c>
      <c r="C404" s="203">
        <v>0</v>
      </c>
      <c r="D404" s="203">
        <v>46</v>
      </c>
      <c r="E404" s="203">
        <v>200.3</v>
      </c>
      <c r="F404" s="203">
        <v>46</v>
      </c>
      <c r="G404" s="56"/>
      <c r="H404" s="203">
        <v>610.18543046357627</v>
      </c>
      <c r="I404" s="203">
        <v>610.18543046357627</v>
      </c>
      <c r="J404" s="56" t="s">
        <v>42</v>
      </c>
      <c r="K404" s="56">
        <v>3</v>
      </c>
      <c r="L404" s="56"/>
      <c r="M404" s="56"/>
      <c r="N404" s="200">
        <v>43922</v>
      </c>
    </row>
    <row r="405" spans="1:14" x14ac:dyDescent="0.35">
      <c r="A405" s="58">
        <v>969500</v>
      </c>
      <c r="B405" s="56" t="s">
        <v>451</v>
      </c>
      <c r="C405" s="203">
        <v>0</v>
      </c>
      <c r="D405" s="203">
        <v>129</v>
      </c>
      <c r="E405" s="203">
        <v>200.3</v>
      </c>
      <c r="F405" s="203">
        <v>129</v>
      </c>
      <c r="G405" s="56"/>
      <c r="H405" s="203">
        <v>1711.1721854304637</v>
      </c>
      <c r="I405" s="203">
        <v>1711.1721854304637</v>
      </c>
      <c r="J405" s="56" t="s">
        <v>42</v>
      </c>
      <c r="K405" s="56">
        <v>3</v>
      </c>
      <c r="L405" s="56"/>
      <c r="M405" s="56"/>
      <c r="N405" s="200">
        <v>43922</v>
      </c>
    </row>
    <row r="406" spans="1:14" x14ac:dyDescent="0.35">
      <c r="A406" s="58">
        <v>969501</v>
      </c>
      <c r="B406" s="56" t="s">
        <v>462</v>
      </c>
      <c r="C406" s="203">
        <v>0</v>
      </c>
      <c r="D406" s="203">
        <v>317.5</v>
      </c>
      <c r="E406" s="203">
        <v>409.4</v>
      </c>
      <c r="F406" s="203">
        <v>317.5</v>
      </c>
      <c r="G406" s="56"/>
      <c r="H406" s="203">
        <v>8608.2450331125838</v>
      </c>
      <c r="I406" s="203">
        <v>8608.2450331125838</v>
      </c>
      <c r="J406" s="56" t="s">
        <v>42</v>
      </c>
      <c r="K406" s="56">
        <v>3</v>
      </c>
      <c r="L406" s="56"/>
      <c r="M406" s="56"/>
      <c r="N406" s="200">
        <v>43922</v>
      </c>
    </row>
    <row r="407" spans="1:14" x14ac:dyDescent="0.35">
      <c r="A407" s="58">
        <v>969501</v>
      </c>
      <c r="B407" s="56" t="s">
        <v>463</v>
      </c>
      <c r="C407" s="203">
        <v>0</v>
      </c>
      <c r="D407" s="203">
        <v>300</v>
      </c>
      <c r="E407" s="203">
        <v>403.1</v>
      </c>
      <c r="F407" s="203">
        <v>300</v>
      </c>
      <c r="G407" s="56"/>
      <c r="H407" s="203">
        <v>8008.6092715231789</v>
      </c>
      <c r="I407" s="203">
        <v>8008.6092715231789</v>
      </c>
      <c r="J407" s="56" t="s">
        <v>42</v>
      </c>
      <c r="K407" s="56">
        <v>3</v>
      </c>
      <c r="L407" s="56"/>
      <c r="M407" s="56"/>
      <c r="N407" s="200">
        <v>43922</v>
      </c>
    </row>
    <row r="408" spans="1:14" x14ac:dyDescent="0.35">
      <c r="A408" s="58">
        <v>969501</v>
      </c>
      <c r="B408" s="56" t="s">
        <v>453</v>
      </c>
      <c r="C408" s="203">
        <v>467</v>
      </c>
      <c r="D408" s="203">
        <v>595</v>
      </c>
      <c r="E408" s="203">
        <v>138</v>
      </c>
      <c r="F408" s="203">
        <v>128</v>
      </c>
      <c r="G408" s="56"/>
      <c r="H408" s="203">
        <v>1169.8013245033112</v>
      </c>
      <c r="I408" s="203">
        <v>1169.8013245033112</v>
      </c>
      <c r="J408" s="56" t="s">
        <v>42</v>
      </c>
      <c r="K408" s="56">
        <v>3</v>
      </c>
      <c r="L408" s="56"/>
      <c r="M408" s="56"/>
      <c r="N408" s="200">
        <v>43922</v>
      </c>
    </row>
    <row r="409" spans="1:14" x14ac:dyDescent="0.35">
      <c r="A409" s="58">
        <v>969501</v>
      </c>
      <c r="B409" s="56" t="s">
        <v>453</v>
      </c>
      <c r="C409" s="203">
        <v>336</v>
      </c>
      <c r="D409" s="203">
        <v>400</v>
      </c>
      <c r="E409" s="203">
        <v>100</v>
      </c>
      <c r="F409" s="203">
        <v>64</v>
      </c>
      <c r="G409" s="56"/>
      <c r="H409" s="203">
        <v>423.84105960264901</v>
      </c>
      <c r="I409" s="203">
        <v>423.84105960264901</v>
      </c>
      <c r="J409" s="56" t="s">
        <v>42</v>
      </c>
      <c r="K409" s="56">
        <v>3</v>
      </c>
      <c r="L409" s="56"/>
      <c r="M409" s="56"/>
      <c r="N409" s="200">
        <v>43922</v>
      </c>
    </row>
    <row r="410" spans="1:14" x14ac:dyDescent="0.35">
      <c r="A410" s="58">
        <v>969501</v>
      </c>
      <c r="B410" s="56" t="s">
        <v>453</v>
      </c>
      <c r="C410" s="203">
        <v>400</v>
      </c>
      <c r="D410" s="203">
        <v>624</v>
      </c>
      <c r="E410" s="203">
        <v>200.3</v>
      </c>
      <c r="F410" s="203">
        <v>224</v>
      </c>
      <c r="G410" s="56"/>
      <c r="H410" s="203">
        <v>2971.337748344371</v>
      </c>
      <c r="I410" s="203">
        <v>2971.337748344371</v>
      </c>
      <c r="J410" s="56" t="s">
        <v>42</v>
      </c>
      <c r="K410" s="56">
        <v>3</v>
      </c>
      <c r="L410" s="56"/>
      <c r="M410" s="56"/>
      <c r="N410" s="200">
        <v>43922</v>
      </c>
    </row>
    <row r="411" spans="1:14" x14ac:dyDescent="0.35">
      <c r="A411" s="58">
        <v>969501</v>
      </c>
      <c r="B411" s="56" t="s">
        <v>453</v>
      </c>
      <c r="C411" s="203">
        <v>624</v>
      </c>
      <c r="D411" s="203">
        <v>661</v>
      </c>
      <c r="E411" s="203">
        <v>100</v>
      </c>
      <c r="F411" s="203">
        <v>37</v>
      </c>
      <c r="G411" s="56"/>
      <c r="H411" s="203">
        <v>245.03311258278146</v>
      </c>
      <c r="I411" s="203">
        <v>245.03311258278146</v>
      </c>
      <c r="J411" s="56" t="s">
        <v>42</v>
      </c>
      <c r="K411" s="56">
        <v>3</v>
      </c>
      <c r="L411" s="56"/>
      <c r="M411" s="56"/>
      <c r="N411" s="200">
        <v>43922</v>
      </c>
    </row>
    <row r="412" spans="1:14" x14ac:dyDescent="0.35">
      <c r="A412" s="58">
        <v>969501</v>
      </c>
      <c r="B412" s="56" t="s">
        <v>454</v>
      </c>
      <c r="C412" s="203">
        <v>0</v>
      </c>
      <c r="D412" s="203">
        <v>4634</v>
      </c>
      <c r="E412" s="203">
        <v>226</v>
      </c>
      <c r="F412" s="203">
        <v>4634</v>
      </c>
      <c r="G412" s="56"/>
      <c r="H412" s="203">
        <v>69356.556291390734</v>
      </c>
      <c r="I412" s="203">
        <v>69356.556291390734</v>
      </c>
      <c r="J412" s="56" t="s">
        <v>42</v>
      </c>
      <c r="K412" s="56">
        <v>3</v>
      </c>
      <c r="L412" s="56"/>
      <c r="M412" s="56"/>
      <c r="N412" s="200">
        <v>43922</v>
      </c>
    </row>
    <row r="413" spans="1:14" x14ac:dyDescent="0.35">
      <c r="A413" s="58">
        <v>969502</v>
      </c>
      <c r="B413" s="56" t="s">
        <v>452</v>
      </c>
      <c r="C413" s="203">
        <v>31</v>
      </c>
      <c r="D413" s="203">
        <v>4341</v>
      </c>
      <c r="E413" s="203">
        <v>226</v>
      </c>
      <c r="F413" s="203">
        <v>4310</v>
      </c>
      <c r="G413" s="56"/>
      <c r="H413" s="203">
        <v>64507.284768211925</v>
      </c>
      <c r="I413" s="203">
        <v>64507.284768211925</v>
      </c>
      <c r="J413" s="56" t="s">
        <v>42</v>
      </c>
      <c r="K413" s="56">
        <v>3</v>
      </c>
      <c r="L413" s="56"/>
      <c r="M413" s="56"/>
      <c r="N413" s="200">
        <v>43922</v>
      </c>
    </row>
    <row r="414" spans="1:14" x14ac:dyDescent="0.35">
      <c r="A414" s="58">
        <v>969502</v>
      </c>
      <c r="B414" s="56" t="s">
        <v>452</v>
      </c>
      <c r="C414" s="203">
        <v>4388</v>
      </c>
      <c r="D414" s="203">
        <v>4583</v>
      </c>
      <c r="E414" s="203">
        <v>226</v>
      </c>
      <c r="F414" s="203">
        <v>195</v>
      </c>
      <c r="G414" s="56"/>
      <c r="H414" s="203">
        <v>2918.5430463576158</v>
      </c>
      <c r="I414" s="203">
        <v>2918.5430463576158</v>
      </c>
      <c r="J414" s="56" t="s">
        <v>42</v>
      </c>
      <c r="K414" s="56">
        <v>3</v>
      </c>
      <c r="L414" s="56"/>
      <c r="M414" s="56"/>
      <c r="N414" s="200">
        <v>43922</v>
      </c>
    </row>
    <row r="415" spans="1:14" x14ac:dyDescent="0.35">
      <c r="A415" s="58">
        <v>969502</v>
      </c>
      <c r="B415" s="56" t="s">
        <v>452</v>
      </c>
      <c r="C415" s="203">
        <v>4583</v>
      </c>
      <c r="D415" s="203">
        <v>4653</v>
      </c>
      <c r="E415" s="203">
        <v>137.69999999999999</v>
      </c>
      <c r="F415" s="203">
        <v>70</v>
      </c>
      <c r="G415" s="56"/>
      <c r="H415" s="203">
        <v>638.34437086092714</v>
      </c>
      <c r="I415" s="203">
        <v>638.34437086092714</v>
      </c>
      <c r="J415" s="56" t="s">
        <v>42</v>
      </c>
      <c r="K415" s="56">
        <v>3</v>
      </c>
      <c r="L415" s="56"/>
      <c r="M415" s="56"/>
      <c r="N415" s="200">
        <v>43922</v>
      </c>
    </row>
    <row r="416" spans="1:14" x14ac:dyDescent="0.35">
      <c r="A416" s="58">
        <v>969502</v>
      </c>
      <c r="B416" s="56" t="s">
        <v>452</v>
      </c>
      <c r="C416" s="203">
        <v>4653</v>
      </c>
      <c r="D416" s="203">
        <v>4735</v>
      </c>
      <c r="E416" s="203">
        <v>226</v>
      </c>
      <c r="F416" s="203">
        <v>82</v>
      </c>
      <c r="G416" s="56"/>
      <c r="H416" s="203">
        <v>1227.2847682119207</v>
      </c>
      <c r="I416" s="203">
        <v>1227.2847682119207</v>
      </c>
      <c r="J416" s="56" t="s">
        <v>42</v>
      </c>
      <c r="K416" s="56">
        <v>3</v>
      </c>
      <c r="L416" s="56"/>
      <c r="M416" s="56"/>
      <c r="N416" s="200">
        <v>43922</v>
      </c>
    </row>
    <row r="417" spans="1:14" x14ac:dyDescent="0.35">
      <c r="A417" s="58">
        <v>969502</v>
      </c>
      <c r="B417" s="56" t="s">
        <v>452</v>
      </c>
      <c r="C417" s="203">
        <v>4590</v>
      </c>
      <c r="D417" s="203">
        <v>4388</v>
      </c>
      <c r="E417" s="203">
        <v>174.6</v>
      </c>
      <c r="F417" s="203">
        <v>202</v>
      </c>
      <c r="G417" s="56"/>
      <c r="H417" s="203">
        <v>2335.7086092715231</v>
      </c>
      <c r="I417" s="203">
        <v>2335.7086092715231</v>
      </c>
      <c r="J417" s="56" t="s">
        <v>42</v>
      </c>
      <c r="K417" s="56">
        <v>3</v>
      </c>
      <c r="L417" s="56"/>
      <c r="M417" s="56"/>
      <c r="N417" s="200">
        <v>43922</v>
      </c>
    </row>
    <row r="418" spans="1:14" x14ac:dyDescent="0.35">
      <c r="A418" s="58">
        <v>969502</v>
      </c>
      <c r="B418" s="56" t="s">
        <v>452</v>
      </c>
      <c r="C418" s="203">
        <v>4341</v>
      </c>
      <c r="D418" s="203">
        <v>3633</v>
      </c>
      <c r="E418" s="203">
        <v>174.6</v>
      </c>
      <c r="F418" s="203">
        <v>708</v>
      </c>
      <c r="G418" s="56"/>
      <c r="H418" s="203">
        <v>8186.5430463576167</v>
      </c>
      <c r="I418" s="203">
        <v>8186.5430463576167</v>
      </c>
      <c r="J418" s="56" t="s">
        <v>42</v>
      </c>
      <c r="K418" s="56">
        <v>3</v>
      </c>
      <c r="L418" s="56"/>
      <c r="M418" s="56"/>
      <c r="N418" s="200">
        <v>43922</v>
      </c>
    </row>
    <row r="419" spans="1:14" x14ac:dyDescent="0.35">
      <c r="A419" s="56">
        <v>968900</v>
      </c>
      <c r="B419" s="56" t="s">
        <v>441</v>
      </c>
      <c r="C419" s="203"/>
      <c r="D419" s="203"/>
      <c r="E419" s="203">
        <v>1586.2</v>
      </c>
      <c r="F419" s="203">
        <v>0</v>
      </c>
      <c r="G419" s="56"/>
      <c r="H419" s="203">
        <v>7983.5231788079473</v>
      </c>
      <c r="I419" s="203">
        <v>7983.5231788079473</v>
      </c>
      <c r="J419" s="56" t="s">
        <v>42</v>
      </c>
      <c r="K419" s="56">
        <v>3</v>
      </c>
      <c r="L419" s="56"/>
      <c r="M419" s="56"/>
      <c r="N419" s="200">
        <v>43952</v>
      </c>
    </row>
    <row r="420" spans="1:14" x14ac:dyDescent="0.35">
      <c r="A420" s="56">
        <v>968900</v>
      </c>
      <c r="B420" s="56" t="s">
        <v>441</v>
      </c>
      <c r="C420" s="203"/>
      <c r="D420" s="203"/>
      <c r="E420" s="203">
        <v>737</v>
      </c>
      <c r="F420" s="203">
        <v>0</v>
      </c>
      <c r="G420" s="56"/>
      <c r="H420" s="203">
        <v>1708.2781456953642</v>
      </c>
      <c r="I420" s="203">
        <v>1708.2781456953642</v>
      </c>
      <c r="J420" s="56" t="s">
        <v>42</v>
      </c>
      <c r="K420" s="56">
        <v>3</v>
      </c>
      <c r="L420" s="56"/>
      <c r="M420" s="56"/>
      <c r="N420" s="200">
        <v>43952</v>
      </c>
    </row>
    <row r="421" spans="1:14" x14ac:dyDescent="0.35">
      <c r="A421" s="56">
        <v>968901</v>
      </c>
      <c r="B421" s="56" t="s">
        <v>479</v>
      </c>
      <c r="C421" s="203"/>
      <c r="D421" s="203"/>
      <c r="E421" s="203">
        <v>303</v>
      </c>
      <c r="F421" s="203">
        <v>0</v>
      </c>
      <c r="G421" s="56"/>
      <c r="H421" s="203">
        <v>180.59602649006624</v>
      </c>
      <c r="I421" s="203">
        <v>180.59602649006624</v>
      </c>
      <c r="J421" s="56" t="s">
        <v>42</v>
      </c>
      <c r="K421" s="56">
        <v>3</v>
      </c>
      <c r="L421" s="56"/>
      <c r="M421" s="56"/>
      <c r="N421" s="200">
        <v>43952</v>
      </c>
    </row>
    <row r="422" spans="1:14" x14ac:dyDescent="0.35">
      <c r="A422" s="56">
        <v>968901</v>
      </c>
      <c r="B422" s="56" t="s">
        <v>480</v>
      </c>
      <c r="C422" s="203"/>
      <c r="D422" s="203"/>
      <c r="E422" s="203">
        <v>810</v>
      </c>
      <c r="F422" s="203">
        <v>0</v>
      </c>
      <c r="G422" s="56"/>
      <c r="H422" s="203">
        <v>348.6754966887417</v>
      </c>
      <c r="I422" s="203">
        <v>348.6754966887417</v>
      </c>
      <c r="J422" s="56" t="s">
        <v>42</v>
      </c>
      <c r="K422" s="56">
        <v>3</v>
      </c>
      <c r="L422" s="56"/>
      <c r="M422" s="56"/>
      <c r="N422" s="200">
        <v>43952</v>
      </c>
    </row>
    <row r="423" spans="1:14" x14ac:dyDescent="0.35">
      <c r="A423" s="56">
        <v>968901</v>
      </c>
      <c r="B423" s="56" t="s">
        <v>481</v>
      </c>
      <c r="C423" s="203"/>
      <c r="D423" s="203"/>
      <c r="E423" s="203">
        <v>2770</v>
      </c>
      <c r="F423" s="203">
        <v>0</v>
      </c>
      <c r="G423" s="56"/>
      <c r="H423" s="203">
        <v>12107.284768211921</v>
      </c>
      <c r="I423" s="203">
        <v>12107.284768211921</v>
      </c>
      <c r="J423" s="56" t="s">
        <v>42</v>
      </c>
      <c r="K423" s="56">
        <v>3</v>
      </c>
      <c r="L423" s="56"/>
      <c r="M423" s="56"/>
      <c r="N423" s="200">
        <v>43952</v>
      </c>
    </row>
    <row r="424" spans="1:14" x14ac:dyDescent="0.35">
      <c r="A424" s="56">
        <v>968901</v>
      </c>
      <c r="B424" s="56" t="s">
        <v>481</v>
      </c>
      <c r="C424" s="203"/>
      <c r="D424" s="203"/>
      <c r="E424" s="203">
        <v>632.6</v>
      </c>
      <c r="F424" s="203">
        <v>0</v>
      </c>
      <c r="G424" s="56"/>
      <c r="H424" s="203">
        <v>1759.5496688741723</v>
      </c>
      <c r="I424" s="203">
        <v>1759.5496688741723</v>
      </c>
      <c r="J424" s="56" t="s">
        <v>42</v>
      </c>
      <c r="K424" s="56">
        <v>3</v>
      </c>
      <c r="L424" s="56"/>
      <c r="M424" s="56"/>
      <c r="N424" s="200">
        <v>43952</v>
      </c>
    </row>
    <row r="425" spans="1:14" x14ac:dyDescent="0.35">
      <c r="A425" s="56">
        <v>968901</v>
      </c>
      <c r="B425" s="56" t="s">
        <v>460</v>
      </c>
      <c r="C425" s="203"/>
      <c r="D425" s="203"/>
      <c r="E425" s="203">
        <v>901</v>
      </c>
      <c r="F425" s="203">
        <v>0</v>
      </c>
      <c r="G425" s="56"/>
      <c r="H425" s="203">
        <v>2762.668874172185</v>
      </c>
      <c r="I425" s="203">
        <v>2762.668874172185</v>
      </c>
      <c r="J425" s="56" t="s">
        <v>42</v>
      </c>
      <c r="K425" s="56">
        <v>3</v>
      </c>
      <c r="L425" s="56"/>
      <c r="M425" s="56"/>
      <c r="N425" s="200">
        <v>43952</v>
      </c>
    </row>
    <row r="426" spans="1:14" x14ac:dyDescent="0.35">
      <c r="A426" s="56">
        <v>968901</v>
      </c>
      <c r="B426" s="56" t="s">
        <v>460</v>
      </c>
      <c r="C426" s="203"/>
      <c r="D426" s="203"/>
      <c r="E426" s="203">
        <v>1867</v>
      </c>
      <c r="F426" s="203">
        <v>0</v>
      </c>
      <c r="G426" s="56"/>
      <c r="H426" s="203">
        <v>1607.3509933774835</v>
      </c>
      <c r="I426" s="203">
        <v>1607.3509933774835</v>
      </c>
      <c r="J426" s="56" t="s">
        <v>42</v>
      </c>
      <c r="K426" s="56">
        <v>3</v>
      </c>
      <c r="L426" s="56"/>
      <c r="M426" s="56"/>
      <c r="N426" s="200">
        <v>43952</v>
      </c>
    </row>
    <row r="427" spans="1:14" x14ac:dyDescent="0.35">
      <c r="A427" s="56">
        <v>968901</v>
      </c>
      <c r="B427" s="56" t="s">
        <v>460</v>
      </c>
      <c r="C427" s="203"/>
      <c r="D427" s="203"/>
      <c r="E427" s="203">
        <v>3398</v>
      </c>
      <c r="F427" s="203">
        <v>0</v>
      </c>
      <c r="G427" s="56"/>
      <c r="H427" s="203">
        <v>2362.8476821192053</v>
      </c>
      <c r="I427" s="203">
        <v>2362.8476821192053</v>
      </c>
      <c r="J427" s="56" t="s">
        <v>42</v>
      </c>
      <c r="K427" s="56">
        <v>3</v>
      </c>
      <c r="L427" s="56"/>
      <c r="M427" s="56"/>
      <c r="N427" s="200">
        <v>43952</v>
      </c>
    </row>
    <row r="428" spans="1:14" x14ac:dyDescent="0.35">
      <c r="A428" s="56">
        <v>968903</v>
      </c>
      <c r="B428" s="56" t="s">
        <v>483</v>
      </c>
      <c r="C428" s="203"/>
      <c r="D428" s="203"/>
      <c r="E428" s="203">
        <v>1475</v>
      </c>
      <c r="F428" s="203">
        <v>0</v>
      </c>
      <c r="G428" s="56"/>
      <c r="H428" s="203">
        <v>3169.203222918532</v>
      </c>
      <c r="I428" s="203">
        <v>3169.203222918532</v>
      </c>
      <c r="J428" s="56" t="s">
        <v>42</v>
      </c>
      <c r="K428" s="56">
        <v>3</v>
      </c>
      <c r="L428" s="56"/>
      <c r="M428" s="56"/>
      <c r="N428" s="200">
        <v>43952</v>
      </c>
    </row>
    <row r="429" spans="1:14" x14ac:dyDescent="0.35">
      <c r="A429" s="56">
        <v>968903</v>
      </c>
      <c r="B429" s="56" t="s">
        <v>484</v>
      </c>
      <c r="C429" s="203"/>
      <c r="D429" s="203"/>
      <c r="E429" s="203">
        <v>461</v>
      </c>
      <c r="F429" s="203">
        <v>0</v>
      </c>
      <c r="G429" s="56"/>
      <c r="H429" s="203">
        <v>495.25514771709936</v>
      </c>
      <c r="I429" s="203">
        <v>495.25514771709936</v>
      </c>
      <c r="J429" s="56" t="s">
        <v>42</v>
      </c>
      <c r="K429" s="56">
        <v>3</v>
      </c>
      <c r="L429" s="56"/>
      <c r="M429" s="56"/>
      <c r="N429" s="200">
        <v>43952</v>
      </c>
    </row>
    <row r="430" spans="1:14" x14ac:dyDescent="0.35">
      <c r="A430" s="56">
        <v>968904</v>
      </c>
      <c r="B430" s="56" t="s">
        <v>335</v>
      </c>
      <c r="C430" s="203"/>
      <c r="D430" s="203"/>
      <c r="E430" s="203">
        <v>3167.5</v>
      </c>
      <c r="F430" s="203">
        <v>0</v>
      </c>
      <c r="G430" s="56"/>
      <c r="H430" s="203">
        <v>2726.9867549668875</v>
      </c>
      <c r="I430" s="203">
        <v>2726.9867549668875</v>
      </c>
      <c r="J430" s="56" t="s">
        <v>42</v>
      </c>
      <c r="K430" s="56">
        <v>3</v>
      </c>
      <c r="L430" s="56"/>
      <c r="M430" s="56"/>
      <c r="N430" s="200">
        <v>43952</v>
      </c>
    </row>
    <row r="431" spans="1:14" x14ac:dyDescent="0.35">
      <c r="A431" s="56">
        <v>968904</v>
      </c>
      <c r="B431" s="56" t="s">
        <v>335</v>
      </c>
      <c r="C431" s="203"/>
      <c r="D431" s="203"/>
      <c r="E431" s="203">
        <v>468</v>
      </c>
      <c r="F431" s="203">
        <v>0</v>
      </c>
      <c r="G431" s="56"/>
      <c r="H431" s="203">
        <v>1394.7019867549668</v>
      </c>
      <c r="I431" s="203">
        <v>1394.7019867549668</v>
      </c>
      <c r="J431" s="56" t="s">
        <v>42</v>
      </c>
      <c r="K431" s="56">
        <v>3</v>
      </c>
      <c r="L431" s="56"/>
      <c r="M431" s="56"/>
      <c r="N431" s="200">
        <v>43952</v>
      </c>
    </row>
    <row r="432" spans="1:14" x14ac:dyDescent="0.35">
      <c r="A432" s="56">
        <v>968904</v>
      </c>
      <c r="B432" s="56" t="s">
        <v>335</v>
      </c>
      <c r="C432" s="203"/>
      <c r="D432" s="203"/>
      <c r="E432" s="203">
        <v>889</v>
      </c>
      <c r="F432" s="203">
        <v>0</v>
      </c>
      <c r="G432" s="56"/>
      <c r="H432" s="203">
        <v>4474.4370860927156</v>
      </c>
      <c r="I432" s="203">
        <v>4474.4370860927156</v>
      </c>
      <c r="J432" s="56" t="s">
        <v>42</v>
      </c>
      <c r="K432" s="56">
        <v>3</v>
      </c>
      <c r="L432" s="56"/>
      <c r="M432" s="56"/>
      <c r="N432" s="200">
        <v>43952</v>
      </c>
    </row>
    <row r="433" spans="1:14" x14ac:dyDescent="0.35">
      <c r="A433" s="56">
        <v>968904</v>
      </c>
      <c r="B433" s="56" t="s">
        <v>482</v>
      </c>
      <c r="C433" s="203"/>
      <c r="D433" s="203"/>
      <c r="E433" s="203">
        <v>547.5</v>
      </c>
      <c r="F433" s="203">
        <v>0</v>
      </c>
      <c r="G433" s="56"/>
      <c r="H433" s="203">
        <v>1160.2649006622516</v>
      </c>
      <c r="I433" s="203">
        <v>1160.2649006622516</v>
      </c>
      <c r="J433" s="56" t="s">
        <v>42</v>
      </c>
      <c r="K433" s="56">
        <v>3</v>
      </c>
      <c r="L433" s="56"/>
      <c r="M433" s="56"/>
      <c r="N433" s="200">
        <v>43952</v>
      </c>
    </row>
    <row r="434" spans="1:14" x14ac:dyDescent="0.35">
      <c r="A434" s="56">
        <v>968904</v>
      </c>
      <c r="B434" s="56" t="s">
        <v>482</v>
      </c>
      <c r="C434" s="203"/>
      <c r="D434" s="203"/>
      <c r="E434" s="203">
        <v>735.5</v>
      </c>
      <c r="F434" s="203">
        <v>0</v>
      </c>
      <c r="G434" s="56"/>
      <c r="H434" s="203">
        <v>2386.7218543046356</v>
      </c>
      <c r="I434" s="203">
        <v>2386.7218543046356</v>
      </c>
      <c r="J434" s="56" t="s">
        <v>42</v>
      </c>
      <c r="K434" s="56">
        <v>3</v>
      </c>
      <c r="L434" s="56"/>
      <c r="M434" s="56"/>
      <c r="N434" s="200">
        <v>43952</v>
      </c>
    </row>
    <row r="435" spans="1:14" x14ac:dyDescent="0.35">
      <c r="A435" s="56">
        <v>968904</v>
      </c>
      <c r="B435" s="56" t="s">
        <v>482</v>
      </c>
      <c r="C435" s="203"/>
      <c r="D435" s="203"/>
      <c r="E435" s="203">
        <v>872</v>
      </c>
      <c r="F435" s="203">
        <v>0</v>
      </c>
      <c r="G435" s="56"/>
      <c r="H435" s="203">
        <v>3869.1390728476822</v>
      </c>
      <c r="I435" s="203">
        <v>3869.1390728476822</v>
      </c>
      <c r="J435" s="56" t="s">
        <v>42</v>
      </c>
      <c r="K435" s="56">
        <v>3</v>
      </c>
      <c r="L435" s="56"/>
      <c r="M435" s="56"/>
      <c r="N435" s="200">
        <v>43952</v>
      </c>
    </row>
    <row r="436" spans="1:14" x14ac:dyDescent="0.35">
      <c r="A436" s="56">
        <v>968904</v>
      </c>
      <c r="B436" s="56" t="s">
        <v>482</v>
      </c>
      <c r="C436" s="203"/>
      <c r="D436" s="203"/>
      <c r="E436" s="203">
        <v>197</v>
      </c>
      <c r="F436" s="203">
        <v>0</v>
      </c>
      <c r="G436" s="56"/>
      <c r="H436" s="203">
        <v>332.68211920529802</v>
      </c>
      <c r="I436" s="203">
        <v>332.68211920529802</v>
      </c>
      <c r="J436" s="56" t="s">
        <v>42</v>
      </c>
      <c r="K436" s="56">
        <v>3</v>
      </c>
      <c r="L436" s="56"/>
      <c r="M436" s="56"/>
      <c r="N436" s="200">
        <v>43952</v>
      </c>
    </row>
    <row r="437" spans="1:14" x14ac:dyDescent="0.35">
      <c r="A437" s="56">
        <v>968904</v>
      </c>
      <c r="B437" s="56" t="s">
        <v>482</v>
      </c>
      <c r="C437" s="203"/>
      <c r="D437" s="203"/>
      <c r="E437" s="203">
        <v>90</v>
      </c>
      <c r="F437" s="203">
        <v>0</v>
      </c>
      <c r="G437" s="56"/>
      <c r="H437" s="203">
        <v>151.98675496688742</v>
      </c>
      <c r="I437" s="203">
        <v>151.98675496688742</v>
      </c>
      <c r="J437" s="56" t="s">
        <v>42</v>
      </c>
      <c r="K437" s="56">
        <v>3</v>
      </c>
      <c r="L437" s="56"/>
      <c r="M437" s="56"/>
      <c r="N437" s="200">
        <v>43952</v>
      </c>
    </row>
    <row r="438" spans="1:14" x14ac:dyDescent="0.35">
      <c r="A438" s="58">
        <v>969500</v>
      </c>
      <c r="B438" s="56" t="s">
        <v>450</v>
      </c>
      <c r="C438" s="203">
        <v>70</v>
      </c>
      <c r="D438" s="203">
        <v>252.2</v>
      </c>
      <c r="E438" s="203">
        <v>226</v>
      </c>
      <c r="F438" s="203">
        <v>182.2</v>
      </c>
      <c r="G438" s="56"/>
      <c r="H438" s="203">
        <v>2726.9668874172185</v>
      </c>
      <c r="I438" s="203">
        <v>2726.9668874172185</v>
      </c>
      <c r="J438" s="56" t="s">
        <v>42</v>
      </c>
      <c r="K438" s="56">
        <v>3</v>
      </c>
      <c r="L438" s="56"/>
      <c r="M438" s="56"/>
      <c r="N438" s="200">
        <v>43952</v>
      </c>
    </row>
    <row r="439" spans="1:14" x14ac:dyDescent="0.35">
      <c r="A439" s="58">
        <v>969500</v>
      </c>
      <c r="B439" s="56" t="s">
        <v>450</v>
      </c>
      <c r="C439" s="203">
        <v>0</v>
      </c>
      <c r="D439" s="203">
        <v>252.2</v>
      </c>
      <c r="E439" s="203">
        <v>174.6</v>
      </c>
      <c r="F439" s="203">
        <v>252.2</v>
      </c>
      <c r="G439" s="56"/>
      <c r="H439" s="203">
        <v>2916.1668874172183</v>
      </c>
      <c r="I439" s="203">
        <v>2916.1668874172183</v>
      </c>
      <c r="J439" s="56" t="s">
        <v>42</v>
      </c>
      <c r="K439" s="56">
        <v>3</v>
      </c>
      <c r="L439" s="56"/>
      <c r="M439" s="56"/>
      <c r="N439" s="200">
        <v>43952</v>
      </c>
    </row>
    <row r="440" spans="1:14" x14ac:dyDescent="0.35">
      <c r="A440" s="58">
        <v>969500</v>
      </c>
      <c r="B440" s="56" t="s">
        <v>466</v>
      </c>
      <c r="C440" s="203">
        <v>0</v>
      </c>
      <c r="D440" s="203">
        <v>176.5</v>
      </c>
      <c r="E440" s="203">
        <v>200.3</v>
      </c>
      <c r="F440" s="203">
        <v>176.5</v>
      </c>
      <c r="G440" s="56"/>
      <c r="H440" s="203">
        <v>2341.2549668874176</v>
      </c>
      <c r="I440" s="203">
        <v>2341.2549668874176</v>
      </c>
      <c r="J440" s="56" t="s">
        <v>42</v>
      </c>
      <c r="K440" s="56">
        <v>3</v>
      </c>
      <c r="L440" s="56"/>
      <c r="M440" s="56"/>
      <c r="N440" s="200">
        <v>43952</v>
      </c>
    </row>
    <row r="441" spans="1:14" x14ac:dyDescent="0.35">
      <c r="A441" s="58">
        <v>969500</v>
      </c>
      <c r="B441" s="56" t="s">
        <v>467</v>
      </c>
      <c r="C441" s="203">
        <v>0</v>
      </c>
      <c r="D441" s="203">
        <v>254.9</v>
      </c>
      <c r="E441" s="203">
        <v>380.1</v>
      </c>
      <c r="F441" s="203">
        <v>254.9</v>
      </c>
      <c r="G441" s="56"/>
      <c r="H441" s="203">
        <v>6416.3900662251663</v>
      </c>
      <c r="I441" s="203">
        <v>6416.3900662251663</v>
      </c>
      <c r="J441" s="56" t="s">
        <v>42</v>
      </c>
      <c r="K441" s="56">
        <v>3</v>
      </c>
      <c r="L441" s="56"/>
      <c r="M441" s="56"/>
      <c r="N441" s="200">
        <v>43952</v>
      </c>
    </row>
    <row r="442" spans="1:14" x14ac:dyDescent="0.35">
      <c r="A442" s="58">
        <v>969500</v>
      </c>
      <c r="B442" s="56" t="s">
        <v>468</v>
      </c>
      <c r="C442" s="203">
        <v>0</v>
      </c>
      <c r="D442" s="203">
        <v>160.80000000000001</v>
      </c>
      <c r="E442" s="203">
        <v>186.5</v>
      </c>
      <c r="F442" s="203">
        <v>160.80000000000001</v>
      </c>
      <c r="G442" s="56"/>
      <c r="H442" s="203">
        <v>1986.0397350993378</v>
      </c>
      <c r="I442" s="203">
        <v>1986.0397350993378</v>
      </c>
      <c r="J442" s="56" t="s">
        <v>42</v>
      </c>
      <c r="K442" s="56">
        <v>3</v>
      </c>
      <c r="L442" s="56"/>
      <c r="M442" s="56"/>
      <c r="N442" s="200">
        <v>43952</v>
      </c>
    </row>
    <row r="443" spans="1:14" x14ac:dyDescent="0.35">
      <c r="A443" s="58">
        <v>969500</v>
      </c>
      <c r="B443" s="56" t="s">
        <v>468</v>
      </c>
      <c r="C443" s="203">
        <v>0</v>
      </c>
      <c r="D443" s="203">
        <v>248</v>
      </c>
      <c r="E443" s="203">
        <v>244.8</v>
      </c>
      <c r="F443" s="203">
        <v>248</v>
      </c>
      <c r="G443" s="56"/>
      <c r="H443" s="203">
        <v>4020.5562913907288</v>
      </c>
      <c r="I443" s="203">
        <v>4020.5562913907288</v>
      </c>
      <c r="J443" s="56" t="s">
        <v>42</v>
      </c>
      <c r="K443" s="56">
        <v>3</v>
      </c>
      <c r="L443" s="56"/>
      <c r="M443" s="56"/>
      <c r="N443" s="200">
        <v>43952</v>
      </c>
    </row>
    <row r="444" spans="1:14" x14ac:dyDescent="0.35">
      <c r="A444" s="58">
        <v>969500</v>
      </c>
      <c r="B444" s="56" t="s">
        <v>469</v>
      </c>
      <c r="C444" s="203">
        <v>0</v>
      </c>
      <c r="D444" s="203">
        <v>3894</v>
      </c>
      <c r="E444" s="203">
        <v>226</v>
      </c>
      <c r="F444" s="203">
        <v>3894</v>
      </c>
      <c r="G444" s="56"/>
      <c r="H444" s="203">
        <v>58281.059602649009</v>
      </c>
      <c r="I444" s="203">
        <v>58281.059602649009</v>
      </c>
      <c r="J444" s="56" t="s">
        <v>42</v>
      </c>
      <c r="K444" s="56">
        <v>3</v>
      </c>
      <c r="L444" s="56"/>
      <c r="M444" s="56"/>
      <c r="N444" s="200">
        <v>43952</v>
      </c>
    </row>
    <row r="445" spans="1:14" x14ac:dyDescent="0.35">
      <c r="A445" s="58">
        <v>969501</v>
      </c>
      <c r="B445" s="56" t="s">
        <v>472</v>
      </c>
      <c r="C445" s="203">
        <v>4634</v>
      </c>
      <c r="D445" s="203">
        <v>5434</v>
      </c>
      <c r="E445" s="203">
        <v>226</v>
      </c>
      <c r="F445" s="203">
        <v>800</v>
      </c>
      <c r="G445" s="56"/>
      <c r="H445" s="203">
        <v>11973.509933774834</v>
      </c>
      <c r="I445" s="203">
        <v>11973.509933774834</v>
      </c>
      <c r="J445" s="56" t="s">
        <v>42</v>
      </c>
      <c r="K445" s="56">
        <v>3</v>
      </c>
      <c r="L445" s="56"/>
      <c r="M445" s="56"/>
      <c r="N445" s="200">
        <v>43952</v>
      </c>
    </row>
    <row r="446" spans="1:14" x14ac:dyDescent="0.35">
      <c r="A446" s="58">
        <v>969501</v>
      </c>
      <c r="B446" s="56" t="s">
        <v>472</v>
      </c>
      <c r="C446" s="203">
        <v>5459</v>
      </c>
      <c r="D446" s="203">
        <v>5570</v>
      </c>
      <c r="E446" s="203">
        <v>226</v>
      </c>
      <c r="F446" s="203">
        <v>111</v>
      </c>
      <c r="G446" s="56"/>
      <c r="H446" s="203">
        <v>1661.3245033112582</v>
      </c>
      <c r="I446" s="203">
        <v>1661.3245033112582</v>
      </c>
      <c r="J446" s="56" t="s">
        <v>42</v>
      </c>
      <c r="K446" s="56">
        <v>3</v>
      </c>
      <c r="L446" s="56"/>
      <c r="M446" s="56"/>
      <c r="N446" s="200">
        <v>43952</v>
      </c>
    </row>
    <row r="447" spans="1:14" x14ac:dyDescent="0.35">
      <c r="A447" s="58">
        <v>969501</v>
      </c>
      <c r="B447" s="56" t="s">
        <v>472</v>
      </c>
      <c r="C447" s="203">
        <v>5434</v>
      </c>
      <c r="D447" s="203">
        <v>0</v>
      </c>
      <c r="E447" s="203">
        <v>174.6</v>
      </c>
      <c r="F447" s="203">
        <v>5434</v>
      </c>
      <c r="G447" s="56"/>
      <c r="H447" s="203">
        <v>62832.874172185431</v>
      </c>
      <c r="I447" s="203">
        <v>62832.874172185431</v>
      </c>
      <c r="J447" s="56" t="s">
        <v>42</v>
      </c>
      <c r="K447" s="56">
        <v>3</v>
      </c>
      <c r="L447" s="56"/>
      <c r="M447" s="56"/>
      <c r="N447" s="200">
        <v>43952</v>
      </c>
    </row>
    <row r="448" spans="1:14" x14ac:dyDescent="0.35">
      <c r="A448" s="58">
        <v>969501</v>
      </c>
      <c r="B448" s="56" t="s">
        <v>474</v>
      </c>
      <c r="C448" s="203">
        <v>0</v>
      </c>
      <c r="D448" s="203">
        <v>252.6</v>
      </c>
      <c r="E448" s="203">
        <v>416</v>
      </c>
      <c r="F448" s="203">
        <v>252.6</v>
      </c>
      <c r="G448" s="56"/>
      <c r="H448" s="203">
        <v>6959.0463576158936</v>
      </c>
      <c r="I448" s="203">
        <v>6959.0463576158936</v>
      </c>
      <c r="J448" s="56" t="s">
        <v>42</v>
      </c>
      <c r="K448" s="56">
        <v>3</v>
      </c>
      <c r="L448" s="56"/>
      <c r="M448" s="56"/>
      <c r="N448" s="200">
        <v>43952</v>
      </c>
    </row>
    <row r="449" spans="1:14" x14ac:dyDescent="0.35">
      <c r="A449" s="58">
        <v>969501</v>
      </c>
      <c r="B449" s="56" t="s">
        <v>473</v>
      </c>
      <c r="C449" s="203">
        <v>0</v>
      </c>
      <c r="D449" s="203">
        <v>20</v>
      </c>
      <c r="E449" s="203">
        <v>510.3</v>
      </c>
      <c r="F449" s="203">
        <v>20</v>
      </c>
      <c r="G449" s="56"/>
      <c r="H449" s="203">
        <v>675.89403973509934</v>
      </c>
      <c r="I449" s="203">
        <v>675.89403973509934</v>
      </c>
      <c r="J449" s="56" t="s">
        <v>42</v>
      </c>
      <c r="K449" s="56">
        <v>3</v>
      </c>
      <c r="L449" s="56"/>
      <c r="M449" s="56"/>
      <c r="N449" s="200">
        <v>43952</v>
      </c>
    </row>
    <row r="450" spans="1:14" x14ac:dyDescent="0.35">
      <c r="A450" s="58">
        <v>969501</v>
      </c>
      <c r="B450" s="56" t="s">
        <v>473</v>
      </c>
      <c r="C450" s="203">
        <v>20</v>
      </c>
      <c r="D450" s="203">
        <v>284</v>
      </c>
      <c r="E450" s="203">
        <v>250.5</v>
      </c>
      <c r="F450" s="203">
        <v>264</v>
      </c>
      <c r="G450" s="56"/>
      <c r="H450" s="203">
        <v>4379.6026490066224</v>
      </c>
      <c r="I450" s="203">
        <v>4379.6026490066224</v>
      </c>
      <c r="J450" s="56" t="s">
        <v>42</v>
      </c>
      <c r="K450" s="56">
        <v>3</v>
      </c>
      <c r="L450" s="56"/>
      <c r="M450" s="56"/>
      <c r="N450" s="200">
        <v>43952</v>
      </c>
    </row>
    <row r="451" spans="1:14" x14ac:dyDescent="0.35">
      <c r="A451" s="58">
        <v>969501</v>
      </c>
      <c r="B451" s="56" t="s">
        <v>475</v>
      </c>
      <c r="C451" s="203">
        <v>0</v>
      </c>
      <c r="D451" s="203">
        <v>252.6</v>
      </c>
      <c r="E451" s="203">
        <v>418.5</v>
      </c>
      <c r="F451" s="203">
        <v>252.6</v>
      </c>
      <c r="G451" s="56"/>
      <c r="H451" s="203">
        <v>7000.8675496688738</v>
      </c>
      <c r="I451" s="203">
        <v>7000.8675496688738</v>
      </c>
      <c r="J451" s="56" t="s">
        <v>42</v>
      </c>
      <c r="K451" s="56">
        <v>3</v>
      </c>
      <c r="L451" s="56"/>
      <c r="M451" s="56"/>
      <c r="N451" s="200">
        <v>43952</v>
      </c>
    </row>
    <row r="452" spans="1:14" x14ac:dyDescent="0.35">
      <c r="A452" s="58">
        <v>969501</v>
      </c>
      <c r="B452" s="56" t="s">
        <v>476</v>
      </c>
      <c r="C452" s="203">
        <v>0</v>
      </c>
      <c r="D452" s="203">
        <v>252.6</v>
      </c>
      <c r="E452" s="203">
        <v>395.5</v>
      </c>
      <c r="F452" s="203">
        <v>252.6</v>
      </c>
      <c r="G452" s="56"/>
      <c r="H452" s="203">
        <v>6616.1125827814576</v>
      </c>
      <c r="I452" s="203">
        <v>6616.1125827814576</v>
      </c>
      <c r="J452" s="56" t="s">
        <v>42</v>
      </c>
      <c r="K452" s="56">
        <v>3</v>
      </c>
      <c r="L452" s="56"/>
      <c r="M452" s="56"/>
      <c r="N452" s="200">
        <v>43952</v>
      </c>
    </row>
    <row r="453" spans="1:14" x14ac:dyDescent="0.35">
      <c r="A453" s="58">
        <v>969501</v>
      </c>
      <c r="B453" s="56" t="s">
        <v>477</v>
      </c>
      <c r="C453" s="203">
        <v>0</v>
      </c>
      <c r="D453" s="203">
        <v>9</v>
      </c>
      <c r="E453" s="203">
        <v>838</v>
      </c>
      <c r="F453" s="203">
        <v>9</v>
      </c>
      <c r="G453" s="56"/>
      <c r="H453" s="203">
        <v>499.4701986754967</v>
      </c>
      <c r="I453" s="203">
        <v>499.4701986754967</v>
      </c>
      <c r="J453" s="56" t="s">
        <v>42</v>
      </c>
      <c r="K453" s="56">
        <v>3</v>
      </c>
      <c r="L453" s="56"/>
      <c r="M453" s="56"/>
      <c r="N453" s="200">
        <v>43952</v>
      </c>
    </row>
    <row r="454" spans="1:14" x14ac:dyDescent="0.35">
      <c r="A454" s="58">
        <v>969501</v>
      </c>
      <c r="B454" s="56" t="s">
        <v>478</v>
      </c>
      <c r="C454" s="203">
        <v>0</v>
      </c>
      <c r="D454" s="203">
        <v>40</v>
      </c>
      <c r="E454" s="203">
        <v>88</v>
      </c>
      <c r="F454" s="203">
        <v>40</v>
      </c>
      <c r="G454" s="56"/>
      <c r="H454" s="203">
        <v>233.11258278145695</v>
      </c>
      <c r="I454" s="203">
        <v>233.11258278145695</v>
      </c>
      <c r="J454" s="56" t="s">
        <v>42</v>
      </c>
      <c r="K454" s="56">
        <v>3</v>
      </c>
      <c r="L454" s="56"/>
      <c r="M454" s="56"/>
      <c r="N454" s="200">
        <v>43952</v>
      </c>
    </row>
    <row r="455" spans="1:14" x14ac:dyDescent="0.35">
      <c r="A455" s="58">
        <v>969502</v>
      </c>
      <c r="B455" s="56" t="s">
        <v>452</v>
      </c>
      <c r="C455" s="203">
        <v>3633</v>
      </c>
      <c r="D455" s="203">
        <v>30</v>
      </c>
      <c r="E455" s="203">
        <v>174.6</v>
      </c>
      <c r="F455" s="203">
        <v>3603</v>
      </c>
      <c r="G455" s="56"/>
      <c r="H455" s="203">
        <v>41661.178807947013</v>
      </c>
      <c r="I455" s="203">
        <v>41661.178807947013</v>
      </c>
      <c r="J455" s="56" t="s">
        <v>42</v>
      </c>
      <c r="K455" s="56">
        <v>3</v>
      </c>
      <c r="L455" s="56"/>
      <c r="M455" s="56"/>
      <c r="N455" s="200">
        <v>43952</v>
      </c>
    </row>
    <row r="456" spans="1:14" x14ac:dyDescent="0.35">
      <c r="A456" s="58">
        <v>969502</v>
      </c>
      <c r="B456" s="56" t="s">
        <v>471</v>
      </c>
      <c r="C456" s="203">
        <v>0</v>
      </c>
      <c r="D456" s="203">
        <v>1727</v>
      </c>
      <c r="E456" s="203">
        <v>226</v>
      </c>
      <c r="F456" s="203">
        <v>1727</v>
      </c>
      <c r="G456" s="56"/>
      <c r="H456" s="203">
        <v>25847.814569536426</v>
      </c>
      <c r="I456" s="203">
        <v>25847.814569536426</v>
      </c>
      <c r="J456" s="56" t="s">
        <v>42</v>
      </c>
      <c r="K456" s="56">
        <v>3</v>
      </c>
      <c r="L456" s="56"/>
      <c r="M456" s="56"/>
      <c r="N456" s="200">
        <v>43952</v>
      </c>
    </row>
    <row r="457" spans="1:14" x14ac:dyDescent="0.35">
      <c r="A457" s="58">
        <v>969502</v>
      </c>
      <c r="B457" s="56" t="s">
        <v>471</v>
      </c>
      <c r="C457" s="203">
        <v>1773.5</v>
      </c>
      <c r="D457" s="203">
        <v>2933.5</v>
      </c>
      <c r="E457" s="203">
        <v>226</v>
      </c>
      <c r="F457" s="203">
        <v>1160</v>
      </c>
      <c r="G457" s="56"/>
      <c r="H457" s="203">
        <v>17361.58940397351</v>
      </c>
      <c r="I457" s="203">
        <v>17361.58940397351</v>
      </c>
      <c r="J457" s="56" t="s">
        <v>42</v>
      </c>
      <c r="K457" s="56">
        <v>3</v>
      </c>
      <c r="L457" s="56"/>
      <c r="M457" s="56"/>
      <c r="N457" s="200">
        <v>43952</v>
      </c>
    </row>
    <row r="458" spans="1:14" x14ac:dyDescent="0.35">
      <c r="A458" s="58">
        <v>969502</v>
      </c>
      <c r="B458" s="56" t="s">
        <v>471</v>
      </c>
      <c r="C458" s="203">
        <v>2980</v>
      </c>
      <c r="D458" s="203">
        <v>3706</v>
      </c>
      <c r="E458" s="203">
        <v>226</v>
      </c>
      <c r="F458" s="203">
        <v>726</v>
      </c>
      <c r="G458" s="56"/>
      <c r="H458" s="203">
        <v>10865.960264900663</v>
      </c>
      <c r="I458" s="203">
        <v>10865.960264900663</v>
      </c>
      <c r="J458" s="56" t="s">
        <v>42</v>
      </c>
      <c r="K458" s="56">
        <v>3</v>
      </c>
      <c r="L458" s="56"/>
      <c r="M458" s="56"/>
      <c r="N458" s="200">
        <v>43952</v>
      </c>
    </row>
    <row r="459" spans="1:14" x14ac:dyDescent="0.35">
      <c r="A459" s="56">
        <v>968900</v>
      </c>
      <c r="B459" s="56" t="s">
        <v>509</v>
      </c>
      <c r="C459" s="203"/>
      <c r="D459" s="203"/>
      <c r="E459" s="203">
        <v>1004</v>
      </c>
      <c r="F459" s="203">
        <v>0</v>
      </c>
      <c r="G459" s="56"/>
      <c r="H459" s="203">
        <v>2892.317880794702</v>
      </c>
      <c r="I459" s="203">
        <v>2892.317880794702</v>
      </c>
      <c r="J459" s="56" t="s">
        <v>42</v>
      </c>
      <c r="K459" s="56">
        <v>3</v>
      </c>
      <c r="L459" s="56"/>
      <c r="M459" s="56"/>
      <c r="N459" s="200">
        <v>43983</v>
      </c>
    </row>
    <row r="460" spans="1:14" x14ac:dyDescent="0.35">
      <c r="A460" s="56">
        <v>968900</v>
      </c>
      <c r="B460" s="56" t="s">
        <v>509</v>
      </c>
      <c r="C460" s="203"/>
      <c r="D460" s="203"/>
      <c r="E460" s="203">
        <v>1895</v>
      </c>
      <c r="F460" s="203">
        <v>0</v>
      </c>
      <c r="G460" s="56"/>
      <c r="H460" s="203">
        <v>9537.7483443708607</v>
      </c>
      <c r="I460" s="203">
        <v>9537.7483443708607</v>
      </c>
      <c r="J460" s="56" t="s">
        <v>42</v>
      </c>
      <c r="K460" s="56">
        <v>3</v>
      </c>
      <c r="L460" s="56"/>
      <c r="M460" s="56"/>
      <c r="N460" s="200">
        <v>43983</v>
      </c>
    </row>
    <row r="461" spans="1:14" x14ac:dyDescent="0.35">
      <c r="A461" s="56">
        <v>968900</v>
      </c>
      <c r="B461" s="56" t="s">
        <v>509</v>
      </c>
      <c r="C461" s="203"/>
      <c r="D461" s="203"/>
      <c r="E461" s="203">
        <v>646</v>
      </c>
      <c r="F461" s="203">
        <v>0</v>
      </c>
      <c r="G461" s="56"/>
      <c r="H461" s="203">
        <v>1497.3509933774835</v>
      </c>
      <c r="I461" s="203">
        <v>1497.3509933774835</v>
      </c>
      <c r="J461" s="56" t="s">
        <v>42</v>
      </c>
      <c r="K461" s="56">
        <v>3</v>
      </c>
      <c r="L461" s="56"/>
      <c r="M461" s="56"/>
      <c r="N461" s="200">
        <v>43983</v>
      </c>
    </row>
    <row r="462" spans="1:14" x14ac:dyDescent="0.35">
      <c r="A462" s="56">
        <v>968900</v>
      </c>
      <c r="B462" s="56" t="s">
        <v>509</v>
      </c>
      <c r="C462" s="203"/>
      <c r="D462" s="203"/>
      <c r="E462" s="203">
        <v>1509</v>
      </c>
      <c r="F462" s="203">
        <v>0</v>
      </c>
      <c r="G462" s="56"/>
      <c r="H462" s="203">
        <v>4347.1192052980132</v>
      </c>
      <c r="I462" s="203">
        <v>4347.1192052980132</v>
      </c>
      <c r="J462" s="56" t="s">
        <v>42</v>
      </c>
      <c r="K462" s="56">
        <v>3</v>
      </c>
      <c r="L462" s="56"/>
      <c r="M462" s="56"/>
      <c r="N462" s="200">
        <v>43983</v>
      </c>
    </row>
    <row r="463" spans="1:14" x14ac:dyDescent="0.35">
      <c r="A463" s="56">
        <v>968900</v>
      </c>
      <c r="B463" s="56" t="s">
        <v>525</v>
      </c>
      <c r="C463" s="203"/>
      <c r="D463" s="203"/>
      <c r="E463" s="203">
        <v>145</v>
      </c>
      <c r="F463" s="203">
        <v>0</v>
      </c>
      <c r="G463" s="56"/>
      <c r="H463" s="203">
        <v>729.80132450331132</v>
      </c>
      <c r="I463" s="203">
        <v>729.80132450331132</v>
      </c>
      <c r="J463" s="56" t="s">
        <v>42</v>
      </c>
      <c r="K463" s="56">
        <v>3</v>
      </c>
      <c r="L463" s="56"/>
      <c r="M463" s="56"/>
      <c r="N463" s="200">
        <v>43983</v>
      </c>
    </row>
    <row r="464" spans="1:14" x14ac:dyDescent="0.35">
      <c r="A464" s="56">
        <v>968903</v>
      </c>
      <c r="B464" s="56" t="s">
        <v>504</v>
      </c>
      <c r="C464" s="203"/>
      <c r="D464" s="203"/>
      <c r="E464" s="203">
        <v>2862.2</v>
      </c>
      <c r="F464" s="203">
        <v>0</v>
      </c>
      <c r="G464" s="56"/>
      <c r="H464" s="203">
        <v>6149.7582811101156</v>
      </c>
      <c r="I464" s="203">
        <v>6149.7582811101156</v>
      </c>
      <c r="J464" s="56" t="s">
        <v>42</v>
      </c>
      <c r="K464" s="56">
        <v>3</v>
      </c>
      <c r="L464" s="56"/>
      <c r="M464" s="56"/>
      <c r="N464" s="200">
        <v>43983</v>
      </c>
    </row>
    <row r="465" spans="1:14" x14ac:dyDescent="0.35">
      <c r="A465" s="56">
        <v>968903</v>
      </c>
      <c r="B465" s="56" t="s">
        <v>504</v>
      </c>
      <c r="C465" s="203"/>
      <c r="D465" s="203"/>
      <c r="E465" s="203">
        <v>64</v>
      </c>
      <c r="F465" s="203">
        <v>0</v>
      </c>
      <c r="G465" s="56"/>
      <c r="H465" s="203">
        <v>72.76633840644584</v>
      </c>
      <c r="I465" s="203">
        <v>72.76633840644584</v>
      </c>
      <c r="J465" s="56" t="s">
        <v>42</v>
      </c>
      <c r="K465" s="56">
        <v>3</v>
      </c>
      <c r="L465" s="56"/>
      <c r="M465" s="56"/>
      <c r="N465" s="200">
        <v>43983</v>
      </c>
    </row>
    <row r="466" spans="1:14" x14ac:dyDescent="0.35">
      <c r="A466" s="56">
        <v>968903</v>
      </c>
      <c r="B466" s="56" t="s">
        <v>508</v>
      </c>
      <c r="C466" s="203"/>
      <c r="D466" s="203"/>
      <c r="E466" s="203">
        <v>118</v>
      </c>
      <c r="F466" s="203">
        <v>0</v>
      </c>
      <c r="G466" s="56"/>
      <c r="H466" s="203">
        <v>74.238410596026498</v>
      </c>
      <c r="I466" s="203">
        <v>74.238410596026498</v>
      </c>
      <c r="J466" s="56" t="s">
        <v>42</v>
      </c>
      <c r="K466" s="56">
        <v>3</v>
      </c>
      <c r="L466" s="56"/>
      <c r="M466" s="56"/>
      <c r="N466" s="200">
        <v>43983</v>
      </c>
    </row>
    <row r="467" spans="1:14" x14ac:dyDescent="0.35">
      <c r="A467" s="56">
        <v>968904</v>
      </c>
      <c r="B467" s="56" t="s">
        <v>511</v>
      </c>
      <c r="C467" s="203"/>
      <c r="D467" s="203"/>
      <c r="E467" s="203">
        <v>851</v>
      </c>
      <c r="F467" s="203">
        <v>0</v>
      </c>
      <c r="G467" s="56"/>
      <c r="H467" s="203">
        <v>428.31788079470198</v>
      </c>
      <c r="I467" s="203">
        <v>428.31788079470198</v>
      </c>
      <c r="J467" s="56" t="s">
        <v>42</v>
      </c>
      <c r="K467" s="56">
        <v>3</v>
      </c>
      <c r="L467" s="56"/>
      <c r="M467" s="56"/>
      <c r="N467" s="200">
        <v>43983</v>
      </c>
    </row>
    <row r="468" spans="1:14" x14ac:dyDescent="0.35">
      <c r="A468" s="56">
        <v>968904</v>
      </c>
      <c r="B468" s="56" t="s">
        <v>511</v>
      </c>
      <c r="C468" s="203"/>
      <c r="D468" s="203"/>
      <c r="E468" s="203">
        <v>645</v>
      </c>
      <c r="F468" s="203">
        <v>0</v>
      </c>
      <c r="G468" s="56"/>
      <c r="H468" s="203">
        <v>68.344370860927157</v>
      </c>
      <c r="I468" s="203">
        <v>68.344370860927157</v>
      </c>
      <c r="J468" s="56" t="s">
        <v>42</v>
      </c>
      <c r="K468" s="56">
        <v>3</v>
      </c>
      <c r="L468" s="56"/>
      <c r="M468" s="56"/>
      <c r="N468" s="200">
        <v>43983</v>
      </c>
    </row>
    <row r="469" spans="1:14" x14ac:dyDescent="0.35">
      <c r="A469" s="56">
        <v>968904</v>
      </c>
      <c r="B469" s="56" t="s">
        <v>511</v>
      </c>
      <c r="C469" s="203"/>
      <c r="D469" s="203"/>
      <c r="E469" s="203">
        <v>233</v>
      </c>
      <c r="F469" s="203">
        <v>0</v>
      </c>
      <c r="G469" s="56"/>
      <c r="H469" s="203">
        <v>117.27152317880795</v>
      </c>
      <c r="I469" s="203">
        <v>117.27152317880795</v>
      </c>
      <c r="J469" s="56" t="s">
        <v>42</v>
      </c>
      <c r="K469" s="56">
        <v>3</v>
      </c>
      <c r="L469" s="56"/>
      <c r="M469" s="56"/>
      <c r="N469" s="200">
        <v>43983</v>
      </c>
    </row>
    <row r="470" spans="1:14" x14ac:dyDescent="0.35">
      <c r="A470" s="56">
        <v>968904</v>
      </c>
      <c r="B470" s="56" t="s">
        <v>511</v>
      </c>
      <c r="C470" s="203"/>
      <c r="D470" s="203"/>
      <c r="E470" s="203">
        <v>2814</v>
      </c>
      <c r="F470" s="203">
        <v>0</v>
      </c>
      <c r="G470" s="56"/>
      <c r="H470" s="203">
        <v>298.17218543046363</v>
      </c>
      <c r="I470" s="203">
        <v>298.17218543046363</v>
      </c>
      <c r="J470" s="56" t="s">
        <v>42</v>
      </c>
      <c r="K470" s="56">
        <v>3</v>
      </c>
      <c r="L470" s="56"/>
      <c r="M470" s="56"/>
      <c r="N470" s="200">
        <v>43983</v>
      </c>
    </row>
    <row r="471" spans="1:14" x14ac:dyDescent="0.35">
      <c r="A471" s="56">
        <v>968901</v>
      </c>
      <c r="B471" s="56" t="s">
        <v>512</v>
      </c>
      <c r="C471" s="203"/>
      <c r="D471" s="203"/>
      <c r="E471" s="203">
        <v>3850</v>
      </c>
      <c r="F471" s="203">
        <v>0</v>
      </c>
      <c r="G471" s="56"/>
      <c r="H471" s="203">
        <v>1050</v>
      </c>
      <c r="I471" s="203">
        <v>1050</v>
      </c>
      <c r="J471" s="56" t="s">
        <v>42</v>
      </c>
      <c r="K471" s="56">
        <v>3</v>
      </c>
      <c r="L471" s="56"/>
      <c r="M471" s="56"/>
      <c r="N471" s="200">
        <v>43983</v>
      </c>
    </row>
    <row r="472" spans="1:14" x14ac:dyDescent="0.35">
      <c r="A472" s="56">
        <v>968901</v>
      </c>
      <c r="B472" s="56" t="s">
        <v>514</v>
      </c>
      <c r="C472" s="203"/>
      <c r="D472" s="203"/>
      <c r="E472" s="203">
        <v>1050</v>
      </c>
      <c r="F472" s="203">
        <v>0</v>
      </c>
      <c r="G472" s="56"/>
      <c r="H472" s="203">
        <v>1668.8741721854306</v>
      </c>
      <c r="I472" s="203">
        <v>1668.8741721854306</v>
      </c>
      <c r="J472" s="56" t="s">
        <v>42</v>
      </c>
      <c r="K472" s="56">
        <v>3</v>
      </c>
      <c r="L472" s="56"/>
      <c r="M472" s="56"/>
      <c r="N472" s="200">
        <v>43983</v>
      </c>
    </row>
    <row r="473" spans="1:14" x14ac:dyDescent="0.35">
      <c r="A473" s="58">
        <v>969500</v>
      </c>
      <c r="B473" s="56" t="s">
        <v>469</v>
      </c>
      <c r="C473" s="203">
        <v>3894</v>
      </c>
      <c r="D473" s="203">
        <v>5489</v>
      </c>
      <c r="E473" s="203">
        <v>226</v>
      </c>
      <c r="F473" s="203">
        <v>1595</v>
      </c>
      <c r="G473" s="56"/>
      <c r="H473" s="203">
        <v>23872.185430463578</v>
      </c>
      <c r="I473" s="203">
        <v>23872.185430463578</v>
      </c>
      <c r="J473" s="56" t="s">
        <v>42</v>
      </c>
      <c r="K473" s="56">
        <v>3</v>
      </c>
      <c r="L473" s="56"/>
      <c r="M473" s="56"/>
      <c r="N473" s="200">
        <v>43983</v>
      </c>
    </row>
    <row r="474" spans="1:14" x14ac:dyDescent="0.35">
      <c r="A474" s="58">
        <v>969500</v>
      </c>
      <c r="B474" s="56" t="s">
        <v>469</v>
      </c>
      <c r="C474" s="203">
        <v>5210</v>
      </c>
      <c r="D474" s="203">
        <v>5410</v>
      </c>
      <c r="E474" s="203">
        <v>188.2</v>
      </c>
      <c r="F474" s="203">
        <v>200</v>
      </c>
      <c r="G474" s="56"/>
      <c r="H474" s="203">
        <v>2492.7152317880796</v>
      </c>
      <c r="I474" s="203">
        <v>2492.7152317880796</v>
      </c>
      <c r="J474" s="56" t="s">
        <v>42</v>
      </c>
      <c r="K474" s="56">
        <v>3</v>
      </c>
      <c r="L474" s="56"/>
      <c r="M474" s="56"/>
      <c r="N474" s="200">
        <v>43983</v>
      </c>
    </row>
    <row r="475" spans="1:14" x14ac:dyDescent="0.35">
      <c r="A475" s="58">
        <v>969500</v>
      </c>
      <c r="B475" s="56" t="s">
        <v>469</v>
      </c>
      <c r="C475" s="203">
        <v>5333</v>
      </c>
      <c r="D475" s="203">
        <v>0</v>
      </c>
      <c r="E475" s="203">
        <v>174.6</v>
      </c>
      <c r="F475" s="203">
        <v>5333</v>
      </c>
      <c r="G475" s="56"/>
      <c r="H475" s="203">
        <v>61665.019867549665</v>
      </c>
      <c r="I475" s="203">
        <v>61665.019867549665</v>
      </c>
      <c r="J475" s="56" t="s">
        <v>42</v>
      </c>
      <c r="K475" s="56">
        <v>3</v>
      </c>
      <c r="L475" s="56"/>
      <c r="M475" s="56"/>
      <c r="N475" s="200">
        <v>43983</v>
      </c>
    </row>
    <row r="476" spans="1:14" x14ac:dyDescent="0.35">
      <c r="A476" s="58">
        <v>969500</v>
      </c>
      <c r="B476" s="56" t="s">
        <v>469</v>
      </c>
      <c r="C476" s="203">
        <v>253</v>
      </c>
      <c r="D476" s="203">
        <v>350</v>
      </c>
      <c r="E476" s="203">
        <v>95.38</v>
      </c>
      <c r="F476" s="203">
        <v>97</v>
      </c>
      <c r="G476" s="56"/>
      <c r="H476" s="203">
        <v>612.70596026490057</v>
      </c>
      <c r="I476" s="203">
        <v>612.70596026490057</v>
      </c>
      <c r="J476" s="56" t="s">
        <v>42</v>
      </c>
      <c r="K476" s="56">
        <v>3</v>
      </c>
      <c r="L476" s="56"/>
      <c r="M476" s="56"/>
      <c r="N476" s="200">
        <v>43983</v>
      </c>
    </row>
    <row r="477" spans="1:14" x14ac:dyDescent="0.35">
      <c r="A477" s="58">
        <v>969500</v>
      </c>
      <c r="B477" s="56" t="s">
        <v>495</v>
      </c>
      <c r="C477" s="203">
        <v>0</v>
      </c>
      <c r="D477" s="203">
        <v>270</v>
      </c>
      <c r="E477" s="203">
        <v>398</v>
      </c>
      <c r="F477" s="203">
        <v>270</v>
      </c>
      <c r="G477" s="56"/>
      <c r="H477" s="203">
        <v>7116.5562913907288</v>
      </c>
      <c r="I477" s="203">
        <v>7116.5562913907288</v>
      </c>
      <c r="J477" s="56" t="s">
        <v>42</v>
      </c>
      <c r="K477" s="56">
        <v>3</v>
      </c>
      <c r="L477" s="56"/>
      <c r="M477" s="56"/>
      <c r="N477" s="200">
        <v>43983</v>
      </c>
    </row>
    <row r="478" spans="1:14" x14ac:dyDescent="0.35">
      <c r="A478" s="58">
        <v>969500</v>
      </c>
      <c r="B478" s="56" t="s">
        <v>495</v>
      </c>
      <c r="C478" s="203">
        <v>139</v>
      </c>
      <c r="D478" s="203">
        <v>270</v>
      </c>
      <c r="E478" s="203">
        <v>173.61</v>
      </c>
      <c r="F478" s="203">
        <v>131</v>
      </c>
      <c r="G478" s="56"/>
      <c r="H478" s="203">
        <v>1506.1529801324507</v>
      </c>
      <c r="I478" s="203">
        <v>1506.1529801324507</v>
      </c>
      <c r="J478" s="56" t="s">
        <v>42</v>
      </c>
      <c r="K478" s="56">
        <v>3</v>
      </c>
      <c r="L478" s="56"/>
      <c r="M478" s="56"/>
      <c r="N478" s="200">
        <v>43983</v>
      </c>
    </row>
    <row r="479" spans="1:14" x14ac:dyDescent="0.35">
      <c r="A479" s="58">
        <v>969500</v>
      </c>
      <c r="B479" s="56" t="s">
        <v>496</v>
      </c>
      <c r="C479" s="203">
        <v>0</v>
      </c>
      <c r="D479" s="203">
        <v>130</v>
      </c>
      <c r="E479" s="203">
        <v>226</v>
      </c>
      <c r="F479" s="203">
        <v>130</v>
      </c>
      <c r="G479" s="56"/>
      <c r="H479" s="203">
        <v>1945.6953642384105</v>
      </c>
      <c r="I479" s="203">
        <v>1945.6953642384105</v>
      </c>
      <c r="J479" s="56" t="s">
        <v>42</v>
      </c>
      <c r="K479" s="56">
        <v>3</v>
      </c>
      <c r="L479" s="56"/>
      <c r="M479" s="56"/>
      <c r="N479" s="200">
        <v>43983</v>
      </c>
    </row>
    <row r="480" spans="1:14" x14ac:dyDescent="0.35">
      <c r="A480" s="58">
        <v>969501</v>
      </c>
      <c r="B480" s="56" t="s">
        <v>498</v>
      </c>
      <c r="C480" s="203">
        <v>5885</v>
      </c>
      <c r="D480" s="203">
        <v>12261</v>
      </c>
      <c r="E480" s="203">
        <v>226</v>
      </c>
      <c r="F480" s="203">
        <v>6376</v>
      </c>
      <c r="G480" s="56"/>
      <c r="H480" s="203">
        <v>95428.874172185431</v>
      </c>
      <c r="I480" s="203">
        <v>95428.874172185431</v>
      </c>
      <c r="J480" s="56" t="s">
        <v>42</v>
      </c>
      <c r="K480" s="56">
        <v>3</v>
      </c>
      <c r="L480" s="56"/>
      <c r="M480" s="56"/>
      <c r="N480" s="200">
        <v>43983</v>
      </c>
    </row>
    <row r="481" spans="1:70" x14ac:dyDescent="0.35">
      <c r="A481" s="58">
        <v>969501</v>
      </c>
      <c r="B481" s="56" t="s">
        <v>498</v>
      </c>
      <c r="C481" s="203">
        <v>12044</v>
      </c>
      <c r="D481" s="203">
        <v>12108</v>
      </c>
      <c r="E481" s="203">
        <v>45.28</v>
      </c>
      <c r="F481" s="203">
        <v>64</v>
      </c>
      <c r="G481" s="56"/>
      <c r="H481" s="203">
        <v>191.91523178807947</v>
      </c>
      <c r="I481" s="203">
        <v>191.91523178807947</v>
      </c>
      <c r="J481" s="56" t="s">
        <v>42</v>
      </c>
      <c r="K481" s="56">
        <v>3</v>
      </c>
      <c r="L481" s="56"/>
      <c r="M481" s="56"/>
      <c r="N481" s="200">
        <v>43983</v>
      </c>
    </row>
    <row r="482" spans="1:70" x14ac:dyDescent="0.35">
      <c r="A482" s="58">
        <v>969502</v>
      </c>
      <c r="B482" s="56" t="s">
        <v>471</v>
      </c>
      <c r="C482" s="203">
        <v>3706</v>
      </c>
      <c r="D482" s="203">
        <v>4901</v>
      </c>
      <c r="E482" s="203">
        <v>400.6</v>
      </c>
      <c r="F482" s="203">
        <v>1195</v>
      </c>
      <c r="G482" s="56"/>
      <c r="H482" s="203">
        <v>31703.112582781458</v>
      </c>
      <c r="I482" s="203">
        <v>31703.112582781458</v>
      </c>
      <c r="J482" s="56" t="s">
        <v>42</v>
      </c>
      <c r="K482" s="56">
        <v>3</v>
      </c>
      <c r="L482" s="56"/>
      <c r="M482" s="56"/>
      <c r="N482" s="200">
        <v>43983</v>
      </c>
    </row>
    <row r="483" spans="1:70" x14ac:dyDescent="0.35">
      <c r="A483" s="58">
        <v>969502</v>
      </c>
      <c r="B483" s="56" t="s">
        <v>471</v>
      </c>
      <c r="C483" s="203">
        <v>4948</v>
      </c>
      <c r="D483" s="203">
        <v>5167</v>
      </c>
      <c r="E483" s="203">
        <v>400.6</v>
      </c>
      <c r="F483" s="203">
        <v>219</v>
      </c>
      <c r="G483" s="56"/>
      <c r="H483" s="203">
        <v>5810.026490066226</v>
      </c>
      <c r="I483" s="203">
        <v>5810.026490066226</v>
      </c>
      <c r="J483" s="56" t="s">
        <v>42</v>
      </c>
      <c r="K483" s="56">
        <v>3</v>
      </c>
      <c r="L483" s="56"/>
      <c r="M483" s="56"/>
      <c r="N483" s="200">
        <v>43983</v>
      </c>
    </row>
    <row r="484" spans="1:70" x14ac:dyDescent="0.35">
      <c r="A484" s="58">
        <v>969502</v>
      </c>
      <c r="B484" s="56" t="s">
        <v>471</v>
      </c>
      <c r="C484" s="203">
        <v>5213</v>
      </c>
      <c r="D484" s="203">
        <v>5431</v>
      </c>
      <c r="E484" s="203">
        <v>400.6</v>
      </c>
      <c r="F484" s="203">
        <v>218</v>
      </c>
      <c r="G484" s="56"/>
      <c r="H484" s="203">
        <v>5783.4966887417222</v>
      </c>
      <c r="I484" s="203">
        <v>5783.4966887417222</v>
      </c>
      <c r="J484" s="56" t="s">
        <v>42</v>
      </c>
      <c r="K484" s="56">
        <v>3</v>
      </c>
      <c r="L484" s="56"/>
      <c r="M484" s="56"/>
      <c r="N484" s="200">
        <v>43983</v>
      </c>
    </row>
    <row r="485" spans="1:70" x14ac:dyDescent="0.35">
      <c r="A485" s="58">
        <v>969502</v>
      </c>
      <c r="B485" s="56" t="s">
        <v>471</v>
      </c>
      <c r="C485" s="203">
        <v>5478</v>
      </c>
      <c r="D485" s="203">
        <v>5563</v>
      </c>
      <c r="E485" s="203">
        <v>226</v>
      </c>
      <c r="F485" s="203">
        <v>85</v>
      </c>
      <c r="G485" s="56"/>
      <c r="H485" s="203">
        <v>1272.1854304635763</v>
      </c>
      <c r="I485" s="203">
        <v>1272.1854304635763</v>
      </c>
      <c r="J485" s="56" t="s">
        <v>42</v>
      </c>
      <c r="K485" s="56">
        <v>3</v>
      </c>
      <c r="L485" s="56"/>
      <c r="M485" s="56"/>
      <c r="N485" s="200">
        <v>43983</v>
      </c>
    </row>
    <row r="486" spans="1:70" x14ac:dyDescent="0.35">
      <c r="A486" s="58">
        <v>969502</v>
      </c>
      <c r="B486" s="56" t="s">
        <v>471</v>
      </c>
      <c r="C486" s="203">
        <v>3613</v>
      </c>
      <c r="D486" s="203">
        <v>0</v>
      </c>
      <c r="E486" s="203">
        <v>174.6</v>
      </c>
      <c r="F486" s="203">
        <v>3613</v>
      </c>
      <c r="G486" s="56"/>
      <c r="H486" s="203">
        <v>41776.807947019865</v>
      </c>
      <c r="I486" s="203">
        <v>41776.807947019865</v>
      </c>
      <c r="J486" s="56" t="s">
        <v>42</v>
      </c>
      <c r="K486" s="56">
        <v>3</v>
      </c>
      <c r="L486" s="56"/>
      <c r="M486" s="56"/>
      <c r="N486" s="200">
        <v>43983</v>
      </c>
    </row>
    <row r="487" spans="1:70" x14ac:dyDescent="0.35">
      <c r="A487" s="58">
        <v>969502</v>
      </c>
      <c r="B487" s="56" t="s">
        <v>471</v>
      </c>
      <c r="C487" s="203">
        <v>0</v>
      </c>
      <c r="D487" s="203">
        <v>9</v>
      </c>
      <c r="E487" s="203">
        <v>1642.8</v>
      </c>
      <c r="F487" s="203">
        <v>9</v>
      </c>
      <c r="G487" s="56"/>
      <c r="H487" s="203">
        <v>979.15231788079461</v>
      </c>
      <c r="I487" s="203">
        <v>979.15231788079461</v>
      </c>
      <c r="J487" s="56" t="s">
        <v>42</v>
      </c>
      <c r="K487" s="56">
        <v>3</v>
      </c>
      <c r="L487" s="56"/>
      <c r="M487" s="56"/>
      <c r="N487" s="200">
        <v>43983</v>
      </c>
    </row>
    <row r="488" spans="1:70" x14ac:dyDescent="0.35">
      <c r="A488" s="58">
        <v>969502</v>
      </c>
      <c r="B488" s="56" t="s">
        <v>500</v>
      </c>
      <c r="C488" s="203">
        <v>0</v>
      </c>
      <c r="D488" s="203">
        <v>272</v>
      </c>
      <c r="E488" s="203">
        <v>250.4</v>
      </c>
      <c r="F488" s="203">
        <v>272</v>
      </c>
      <c r="G488" s="56"/>
      <c r="H488" s="203">
        <v>4510.5165562913908</v>
      </c>
      <c r="I488" s="203">
        <v>4510.5165562913908</v>
      </c>
      <c r="J488" s="56" t="s">
        <v>42</v>
      </c>
      <c r="K488" s="56">
        <v>3</v>
      </c>
      <c r="L488" s="56"/>
      <c r="M488" s="56"/>
      <c r="N488" s="200">
        <v>43983</v>
      </c>
    </row>
    <row r="489" spans="1:70" x14ac:dyDescent="0.35">
      <c r="A489" s="58">
        <v>969502</v>
      </c>
      <c r="B489" s="56" t="s">
        <v>501</v>
      </c>
      <c r="C489" s="203">
        <v>0</v>
      </c>
      <c r="D489" s="203">
        <v>249</v>
      </c>
      <c r="E489" s="203">
        <v>226</v>
      </c>
      <c r="F489" s="203">
        <v>249</v>
      </c>
      <c r="G489" s="56"/>
      <c r="H489" s="203">
        <v>3726.7549668874171</v>
      </c>
      <c r="I489" s="203">
        <v>3726.7549668874171</v>
      </c>
      <c r="J489" s="56" t="s">
        <v>42</v>
      </c>
      <c r="K489" s="56">
        <v>3</v>
      </c>
      <c r="L489" s="56"/>
      <c r="M489" s="56"/>
      <c r="N489" s="200">
        <v>43983</v>
      </c>
    </row>
    <row r="490" spans="1:70" x14ac:dyDescent="0.35">
      <c r="A490" s="58">
        <v>969502</v>
      </c>
      <c r="B490" s="56" t="s">
        <v>502</v>
      </c>
      <c r="C490" s="203">
        <v>0</v>
      </c>
      <c r="D490" s="203">
        <v>240</v>
      </c>
      <c r="E490" s="203">
        <v>353.3</v>
      </c>
      <c r="F490" s="203">
        <v>240</v>
      </c>
      <c r="G490" s="56"/>
      <c r="H490" s="203">
        <v>5615.364238410596</v>
      </c>
      <c r="I490" s="203">
        <v>5615.364238410596</v>
      </c>
      <c r="J490" s="56" t="s">
        <v>42</v>
      </c>
      <c r="K490" s="56">
        <v>3</v>
      </c>
      <c r="L490" s="56"/>
      <c r="M490" s="56"/>
      <c r="N490" s="200">
        <v>43983</v>
      </c>
    </row>
    <row r="491" spans="1:70" s="208" customFormat="1" x14ac:dyDescent="0.35">
      <c r="A491" s="497">
        <v>969502</v>
      </c>
      <c r="B491" s="211" t="s">
        <v>503</v>
      </c>
      <c r="C491" s="498">
        <v>0</v>
      </c>
      <c r="D491" s="498">
        <v>214</v>
      </c>
      <c r="E491" s="498">
        <v>226</v>
      </c>
      <c r="F491" s="498">
        <v>214</v>
      </c>
      <c r="G491" s="211"/>
      <c r="H491" s="498">
        <v>3202.9139072847684</v>
      </c>
      <c r="I491" s="498">
        <v>3202.9139072847684</v>
      </c>
      <c r="J491" s="211" t="s">
        <v>42</v>
      </c>
      <c r="K491" s="211">
        <v>3</v>
      </c>
      <c r="L491" s="211"/>
      <c r="M491" s="211"/>
      <c r="N491" s="499">
        <v>43983</v>
      </c>
    </row>
    <row r="492" spans="1:70" x14ac:dyDescent="0.35">
      <c r="A492"/>
      <c r="B492"/>
      <c r="C492"/>
      <c r="D492"/>
      <c r="E492"/>
      <c r="F492"/>
      <c r="G492"/>
      <c r="H492"/>
      <c r="I492"/>
      <c r="J492"/>
      <c r="K492"/>
      <c r="L492"/>
      <c r="M492"/>
      <c r="N492"/>
      <c r="AQ492"/>
      <c r="AT492"/>
      <c r="AW492"/>
      <c r="AZ492"/>
      <c r="BC492"/>
      <c r="BF492"/>
      <c r="BI492"/>
      <c r="BL492"/>
      <c r="BO492"/>
      <c r="BR492"/>
    </row>
    <row r="493" spans="1:70" x14ac:dyDescent="0.35">
      <c r="A493"/>
      <c r="B493"/>
      <c r="C493"/>
      <c r="D493"/>
      <c r="E493"/>
      <c r="F493"/>
      <c r="G493"/>
      <c r="H493"/>
      <c r="I493"/>
      <c r="J493"/>
      <c r="K493"/>
      <c r="L493"/>
      <c r="M493"/>
      <c r="N493"/>
      <c r="AQ493"/>
      <c r="AT493"/>
      <c r="AW493"/>
      <c r="AZ493"/>
      <c r="BC493"/>
      <c r="BF493"/>
      <c r="BI493"/>
      <c r="BL493"/>
      <c r="BO493"/>
      <c r="BR493"/>
    </row>
    <row r="494" spans="1:70" x14ac:dyDescent="0.35">
      <c r="A494"/>
      <c r="B494"/>
      <c r="C494"/>
      <c r="D494"/>
      <c r="E494"/>
      <c r="F494"/>
      <c r="G494"/>
      <c r="H494"/>
      <c r="I494"/>
      <c r="J494"/>
      <c r="K494"/>
      <c r="L494"/>
      <c r="M494"/>
      <c r="N494"/>
      <c r="AQ494"/>
      <c r="AT494"/>
      <c r="AW494"/>
      <c r="AZ494"/>
      <c r="BC494"/>
      <c r="BF494"/>
      <c r="BI494"/>
      <c r="BL494"/>
      <c r="BO494"/>
      <c r="BR494"/>
    </row>
    <row r="495" spans="1:70" x14ac:dyDescent="0.35">
      <c r="A495"/>
      <c r="B495"/>
      <c r="C495"/>
      <c r="D495"/>
      <c r="E495"/>
      <c r="F495"/>
      <c r="G495"/>
      <c r="H495"/>
      <c r="I495"/>
      <c r="J495"/>
      <c r="K495"/>
      <c r="L495"/>
      <c r="M495"/>
      <c r="N495"/>
      <c r="AQ495"/>
      <c r="AT495"/>
      <c r="AW495"/>
      <c r="AZ495"/>
      <c r="BC495"/>
      <c r="BF495"/>
      <c r="BI495"/>
      <c r="BL495"/>
      <c r="BO495"/>
      <c r="BR495"/>
    </row>
    <row r="496" spans="1:70" x14ac:dyDescent="0.35">
      <c r="A496"/>
      <c r="B496"/>
      <c r="C496"/>
      <c r="D496"/>
      <c r="E496"/>
      <c r="F496"/>
      <c r="G496"/>
      <c r="H496"/>
      <c r="I496"/>
      <c r="J496"/>
      <c r="K496"/>
      <c r="L496"/>
      <c r="M496"/>
      <c r="N496"/>
      <c r="AQ496"/>
      <c r="AT496"/>
      <c r="AW496"/>
      <c r="AZ496"/>
      <c r="BC496"/>
      <c r="BF496"/>
      <c r="BI496"/>
      <c r="BL496"/>
      <c r="BO496"/>
      <c r="BR496"/>
    </row>
    <row r="497" spans="1:70" x14ac:dyDescent="0.35">
      <c r="A497"/>
      <c r="B497"/>
      <c r="C497"/>
      <c r="D497"/>
      <c r="E497"/>
      <c r="F497"/>
      <c r="G497"/>
      <c r="H497"/>
      <c r="I497"/>
      <c r="J497"/>
      <c r="K497"/>
      <c r="L497"/>
      <c r="M497"/>
      <c r="N497"/>
      <c r="AQ497"/>
      <c r="AT497"/>
      <c r="AW497"/>
      <c r="AZ497"/>
      <c r="BC497"/>
      <c r="BF497"/>
      <c r="BI497"/>
      <c r="BL497"/>
      <c r="BO497"/>
      <c r="BR497"/>
    </row>
    <row r="498" spans="1:70" x14ac:dyDescent="0.35">
      <c r="A498"/>
      <c r="B498"/>
      <c r="C498"/>
      <c r="D498"/>
      <c r="E498"/>
      <c r="F498"/>
      <c r="G498"/>
      <c r="H498"/>
      <c r="I498"/>
      <c r="J498"/>
      <c r="K498"/>
      <c r="L498"/>
      <c r="M498"/>
      <c r="N498"/>
      <c r="AQ498"/>
      <c r="AT498"/>
      <c r="AW498"/>
      <c r="AZ498"/>
      <c r="BC498"/>
      <c r="BF498"/>
      <c r="BI498"/>
      <c r="BL498"/>
      <c r="BO498"/>
      <c r="BR498"/>
    </row>
    <row r="499" spans="1:70" x14ac:dyDescent="0.35">
      <c r="A499"/>
      <c r="B499"/>
      <c r="C499"/>
      <c r="D499"/>
      <c r="E499"/>
      <c r="F499"/>
      <c r="G499"/>
      <c r="H499"/>
      <c r="I499"/>
      <c r="J499"/>
      <c r="K499"/>
      <c r="L499"/>
      <c r="M499"/>
      <c r="N499"/>
      <c r="AQ499"/>
      <c r="AT499"/>
      <c r="AW499"/>
      <c r="AZ499"/>
      <c r="BC499"/>
      <c r="BF499"/>
      <c r="BI499"/>
      <c r="BL499"/>
      <c r="BO499"/>
      <c r="BR499"/>
    </row>
    <row r="500" spans="1:70" x14ac:dyDescent="0.35">
      <c r="A500"/>
      <c r="B500"/>
      <c r="C500"/>
      <c r="D500"/>
      <c r="E500"/>
      <c r="F500"/>
      <c r="G500"/>
      <c r="H500"/>
      <c r="I500"/>
      <c r="J500"/>
      <c r="K500"/>
      <c r="L500"/>
      <c r="M500"/>
      <c r="N500"/>
      <c r="AQ500"/>
      <c r="AT500"/>
      <c r="AW500"/>
      <c r="AZ500"/>
      <c r="BC500"/>
      <c r="BF500"/>
      <c r="BI500"/>
      <c r="BL500"/>
      <c r="BO500"/>
      <c r="BR500"/>
    </row>
    <row r="501" spans="1:70" x14ac:dyDescent="0.35">
      <c r="A501"/>
      <c r="B501"/>
      <c r="C501"/>
      <c r="D501"/>
      <c r="E501"/>
      <c r="F501"/>
      <c r="G501"/>
      <c r="H501"/>
      <c r="I501"/>
      <c r="J501"/>
      <c r="K501"/>
      <c r="L501"/>
      <c r="M501"/>
      <c r="N501"/>
      <c r="AQ501"/>
      <c r="AT501"/>
      <c r="AW501"/>
      <c r="AZ501"/>
      <c r="BC501"/>
      <c r="BF501"/>
      <c r="BI501"/>
      <c r="BL501"/>
      <c r="BO501"/>
      <c r="BR501"/>
    </row>
    <row r="502" spans="1:70" x14ac:dyDescent="0.35">
      <c r="A502"/>
      <c r="B502"/>
      <c r="C502"/>
      <c r="D502"/>
      <c r="E502"/>
      <c r="F502"/>
      <c r="G502"/>
      <c r="H502"/>
      <c r="I502"/>
      <c r="J502"/>
      <c r="K502"/>
      <c r="L502"/>
      <c r="M502"/>
      <c r="N502"/>
      <c r="AQ502"/>
      <c r="AT502"/>
      <c r="AW502"/>
      <c r="AZ502"/>
      <c r="BC502"/>
      <c r="BF502"/>
      <c r="BI502"/>
      <c r="BL502"/>
      <c r="BO502"/>
      <c r="BR502"/>
    </row>
    <row r="503" spans="1:70" x14ac:dyDescent="0.35">
      <c r="A503"/>
      <c r="B503"/>
      <c r="C503"/>
      <c r="D503"/>
      <c r="E503"/>
      <c r="F503"/>
      <c r="G503"/>
      <c r="H503"/>
      <c r="I503"/>
      <c r="J503"/>
      <c r="K503"/>
      <c r="L503"/>
      <c r="M503"/>
      <c r="N503"/>
      <c r="AQ503"/>
      <c r="AT503"/>
      <c r="AW503"/>
      <c r="AZ503"/>
      <c r="BC503"/>
      <c r="BF503"/>
      <c r="BI503"/>
      <c r="BL503"/>
      <c r="BO503"/>
      <c r="BR503"/>
    </row>
    <row r="504" spans="1:70" x14ac:dyDescent="0.35">
      <c r="A504"/>
      <c r="B504"/>
      <c r="C504"/>
      <c r="D504"/>
      <c r="E504"/>
      <c r="F504"/>
      <c r="G504"/>
      <c r="H504"/>
      <c r="I504"/>
      <c r="J504"/>
      <c r="K504"/>
      <c r="L504"/>
      <c r="M504"/>
      <c r="N504"/>
      <c r="AQ504"/>
      <c r="AT504"/>
      <c r="AW504"/>
      <c r="AZ504"/>
      <c r="BC504"/>
      <c r="BF504"/>
      <c r="BI504"/>
      <c r="BL504"/>
      <c r="BO504"/>
      <c r="BR504"/>
    </row>
    <row r="505" spans="1:70" x14ac:dyDescent="0.35">
      <c r="A505"/>
      <c r="B505"/>
      <c r="C505"/>
      <c r="D505"/>
      <c r="E505"/>
      <c r="F505"/>
      <c r="G505"/>
      <c r="H505"/>
      <c r="I505"/>
      <c r="J505"/>
      <c r="K505"/>
      <c r="L505"/>
      <c r="M505"/>
      <c r="N505"/>
      <c r="AQ505"/>
      <c r="AT505"/>
      <c r="AW505"/>
      <c r="AZ505"/>
      <c r="BC505"/>
      <c r="BF505"/>
      <c r="BI505"/>
      <c r="BL505"/>
      <c r="BO505"/>
      <c r="BR505"/>
    </row>
    <row r="506" spans="1:70" x14ac:dyDescent="0.35">
      <c r="A506"/>
      <c r="B506"/>
      <c r="C506"/>
      <c r="D506"/>
      <c r="E506"/>
      <c r="F506"/>
      <c r="G506"/>
      <c r="H506"/>
      <c r="I506"/>
      <c r="J506"/>
      <c r="K506"/>
      <c r="L506"/>
      <c r="M506"/>
      <c r="N506"/>
      <c r="AQ506"/>
      <c r="AT506"/>
      <c r="AW506"/>
      <c r="AZ506"/>
      <c r="BC506"/>
      <c r="BF506"/>
      <c r="BI506"/>
      <c r="BL506"/>
      <c r="BO506"/>
      <c r="BR506"/>
    </row>
    <row r="507" spans="1:70" x14ac:dyDescent="0.35">
      <c r="A507"/>
      <c r="B507"/>
      <c r="C507"/>
      <c r="D507"/>
      <c r="E507"/>
      <c r="F507"/>
      <c r="G507"/>
      <c r="H507"/>
      <c r="I507"/>
      <c r="J507"/>
      <c r="K507"/>
      <c r="L507"/>
      <c r="M507"/>
      <c r="N507"/>
      <c r="AQ507"/>
      <c r="AT507"/>
      <c r="AW507"/>
      <c r="AZ507"/>
      <c r="BC507"/>
      <c r="BF507"/>
      <c r="BI507"/>
      <c r="BL507"/>
      <c r="BO507"/>
      <c r="BR507"/>
    </row>
    <row r="508" spans="1:70" x14ac:dyDescent="0.35">
      <c r="A508"/>
      <c r="B508"/>
      <c r="C508"/>
      <c r="D508"/>
      <c r="E508"/>
      <c r="F508"/>
      <c r="G508"/>
      <c r="H508"/>
      <c r="I508"/>
      <c r="J508"/>
      <c r="K508"/>
      <c r="L508"/>
      <c r="M508"/>
      <c r="N508"/>
      <c r="AQ508"/>
      <c r="AT508"/>
      <c r="AW508"/>
      <c r="AZ508"/>
      <c r="BC508"/>
      <c r="BF508"/>
      <c r="BI508"/>
      <c r="BL508"/>
      <c r="BO508"/>
      <c r="BR508"/>
    </row>
    <row r="509" spans="1:70" x14ac:dyDescent="0.35">
      <c r="A509"/>
      <c r="B509"/>
      <c r="C509"/>
      <c r="D509"/>
      <c r="E509"/>
      <c r="F509"/>
      <c r="G509"/>
      <c r="H509"/>
      <c r="I509"/>
      <c r="J509"/>
      <c r="K509"/>
      <c r="L509"/>
      <c r="M509"/>
      <c r="N509"/>
      <c r="AQ509"/>
      <c r="AT509"/>
      <c r="AW509"/>
      <c r="AZ509"/>
      <c r="BC509"/>
      <c r="BF509"/>
      <c r="BI509"/>
      <c r="BL509"/>
      <c r="BO509"/>
      <c r="BR509"/>
    </row>
    <row r="510" spans="1:70" x14ac:dyDescent="0.35">
      <c r="A510"/>
      <c r="B510"/>
      <c r="C510"/>
      <c r="D510"/>
      <c r="E510"/>
      <c r="F510"/>
      <c r="G510"/>
      <c r="H510"/>
      <c r="I510"/>
      <c r="J510"/>
      <c r="K510"/>
      <c r="L510"/>
      <c r="M510"/>
      <c r="N510"/>
      <c r="AQ510"/>
      <c r="AT510"/>
      <c r="AW510"/>
      <c r="AZ510"/>
      <c r="BC510"/>
      <c r="BF510"/>
      <c r="BI510"/>
      <c r="BL510"/>
      <c r="BO510"/>
      <c r="BR510"/>
    </row>
    <row r="511" spans="1:70" x14ac:dyDescent="0.35">
      <c r="A511"/>
      <c r="B511"/>
      <c r="C511"/>
      <c r="D511"/>
      <c r="E511"/>
      <c r="F511"/>
      <c r="G511"/>
      <c r="H511"/>
      <c r="I511"/>
      <c r="J511"/>
      <c r="K511"/>
      <c r="L511"/>
      <c r="M511"/>
      <c r="N511"/>
      <c r="AQ511"/>
      <c r="AT511"/>
      <c r="AW511"/>
      <c r="AZ511"/>
      <c r="BC511"/>
      <c r="BF511"/>
      <c r="BI511"/>
      <c r="BL511"/>
      <c r="BO511"/>
      <c r="BR511"/>
    </row>
    <row r="512" spans="1:70" x14ac:dyDescent="0.35">
      <c r="A512"/>
      <c r="B512"/>
      <c r="C512"/>
      <c r="D512"/>
      <c r="E512"/>
      <c r="F512"/>
      <c r="G512"/>
      <c r="H512"/>
      <c r="I512"/>
      <c r="J512"/>
      <c r="K512"/>
      <c r="L512"/>
      <c r="M512"/>
      <c r="N512"/>
      <c r="AQ512"/>
      <c r="AT512"/>
      <c r="AW512"/>
      <c r="AZ512"/>
      <c r="BC512"/>
      <c r="BF512"/>
      <c r="BI512"/>
      <c r="BL512"/>
      <c r="BO512"/>
      <c r="BR512"/>
    </row>
    <row r="513" spans="1:70" x14ac:dyDescent="0.35">
      <c r="A513"/>
      <c r="B513"/>
      <c r="C513"/>
      <c r="D513"/>
      <c r="E513"/>
      <c r="F513"/>
      <c r="G513"/>
      <c r="H513"/>
      <c r="I513"/>
      <c r="J513"/>
      <c r="K513"/>
      <c r="L513"/>
      <c r="M513"/>
      <c r="N513"/>
      <c r="AQ513"/>
      <c r="AT513"/>
      <c r="AW513"/>
      <c r="AZ513"/>
      <c r="BC513"/>
      <c r="BF513"/>
      <c r="BI513"/>
      <c r="BL513"/>
      <c r="BO513"/>
      <c r="BR513"/>
    </row>
    <row r="514" spans="1:70" x14ac:dyDescent="0.35">
      <c r="A514"/>
      <c r="B514"/>
      <c r="C514"/>
      <c r="D514"/>
      <c r="E514"/>
      <c r="F514"/>
      <c r="G514"/>
      <c r="H514"/>
      <c r="I514"/>
      <c r="J514"/>
      <c r="K514"/>
      <c r="L514"/>
      <c r="M514"/>
      <c r="N514"/>
      <c r="AQ514"/>
      <c r="AT514"/>
      <c r="AW514"/>
      <c r="AZ514"/>
      <c r="BC514"/>
      <c r="BF514"/>
      <c r="BI514"/>
      <c r="BL514"/>
      <c r="BO514"/>
      <c r="BR514"/>
    </row>
    <row r="515" spans="1:70" x14ac:dyDescent="0.35">
      <c r="A515"/>
      <c r="B515"/>
      <c r="C515"/>
      <c r="D515"/>
      <c r="E515"/>
      <c r="F515"/>
      <c r="G515"/>
      <c r="H515"/>
      <c r="I515"/>
      <c r="J515"/>
      <c r="K515"/>
      <c r="L515"/>
      <c r="M515"/>
      <c r="N515"/>
      <c r="AQ515"/>
      <c r="AT515"/>
      <c r="AW515"/>
      <c r="AZ515"/>
      <c r="BC515"/>
      <c r="BF515"/>
      <c r="BI515"/>
      <c r="BL515"/>
      <c r="BO515"/>
      <c r="BR515"/>
    </row>
    <row r="516" spans="1:70" x14ac:dyDescent="0.35">
      <c r="A516"/>
      <c r="B516"/>
      <c r="C516"/>
      <c r="D516"/>
      <c r="E516"/>
      <c r="F516"/>
      <c r="G516"/>
      <c r="H516"/>
      <c r="I516"/>
      <c r="J516"/>
      <c r="K516"/>
      <c r="L516"/>
      <c r="M516"/>
      <c r="N516"/>
      <c r="AQ516"/>
      <c r="AT516"/>
      <c r="AW516"/>
      <c r="AZ516"/>
      <c r="BC516"/>
      <c r="BF516"/>
      <c r="BI516"/>
      <c r="BL516"/>
      <c r="BO516"/>
      <c r="BR516"/>
    </row>
    <row r="517" spans="1:70" x14ac:dyDescent="0.35">
      <c r="A517"/>
      <c r="B517"/>
      <c r="C517"/>
      <c r="D517"/>
      <c r="E517"/>
      <c r="F517"/>
      <c r="G517"/>
      <c r="H517"/>
      <c r="I517"/>
      <c r="J517"/>
      <c r="K517"/>
      <c r="L517"/>
      <c r="M517"/>
      <c r="N517"/>
      <c r="AQ517"/>
      <c r="AT517"/>
      <c r="AW517"/>
      <c r="AZ517"/>
      <c r="BC517"/>
      <c r="BF517"/>
      <c r="BI517"/>
      <c r="BL517"/>
      <c r="BO517"/>
      <c r="BR517"/>
    </row>
    <row r="518" spans="1:70" x14ac:dyDescent="0.35">
      <c r="A518"/>
      <c r="B518"/>
      <c r="C518"/>
      <c r="D518"/>
      <c r="E518"/>
      <c r="F518"/>
      <c r="G518"/>
      <c r="H518"/>
      <c r="I518"/>
      <c r="J518"/>
      <c r="K518"/>
      <c r="L518"/>
      <c r="M518"/>
      <c r="N518"/>
      <c r="AQ518"/>
      <c r="AT518"/>
      <c r="AW518"/>
      <c r="AZ518"/>
      <c r="BC518"/>
      <c r="BF518"/>
      <c r="BI518"/>
      <c r="BL518"/>
      <c r="BO518"/>
      <c r="BR518"/>
    </row>
    <row r="519" spans="1:70" x14ac:dyDescent="0.35">
      <c r="A519"/>
      <c r="B519"/>
      <c r="C519"/>
      <c r="D519"/>
      <c r="E519"/>
      <c r="F519"/>
      <c r="G519"/>
      <c r="H519"/>
      <c r="I519"/>
      <c r="J519"/>
      <c r="K519"/>
      <c r="L519"/>
      <c r="M519"/>
      <c r="N519"/>
      <c r="AQ519"/>
      <c r="AT519"/>
      <c r="AW519"/>
      <c r="AZ519"/>
      <c r="BC519"/>
      <c r="BF519"/>
      <c r="BI519"/>
      <c r="BL519"/>
      <c r="BO519"/>
      <c r="BR519"/>
    </row>
    <row r="520" spans="1:70" x14ac:dyDescent="0.35">
      <c r="A520"/>
      <c r="B520"/>
      <c r="C520"/>
      <c r="D520"/>
      <c r="E520"/>
      <c r="F520"/>
      <c r="G520"/>
      <c r="H520"/>
      <c r="I520"/>
      <c r="J520"/>
      <c r="K520"/>
      <c r="L520"/>
      <c r="M520"/>
      <c r="N520"/>
      <c r="AQ520"/>
      <c r="AT520"/>
      <c r="AW520"/>
      <c r="AZ520"/>
      <c r="BC520"/>
      <c r="BF520"/>
      <c r="BI520"/>
      <c r="BL520"/>
      <c r="BO520"/>
      <c r="BR520"/>
    </row>
    <row r="521" spans="1:70" x14ac:dyDescent="0.35">
      <c r="A521"/>
      <c r="B521"/>
      <c r="C521"/>
      <c r="D521"/>
      <c r="E521"/>
      <c r="F521"/>
      <c r="G521"/>
      <c r="H521"/>
      <c r="I521"/>
      <c r="J521"/>
      <c r="K521"/>
      <c r="L521"/>
      <c r="M521"/>
      <c r="N521"/>
      <c r="AQ521"/>
      <c r="AT521"/>
      <c r="AW521"/>
      <c r="AZ521"/>
      <c r="BC521"/>
      <c r="BF521"/>
      <c r="BI521"/>
      <c r="BL521"/>
      <c r="BO521"/>
      <c r="BR521"/>
    </row>
    <row r="522" spans="1:70" x14ac:dyDescent="0.35">
      <c r="A522"/>
      <c r="B522"/>
      <c r="C522"/>
      <c r="D522"/>
      <c r="E522"/>
      <c r="F522"/>
      <c r="G522"/>
      <c r="H522"/>
      <c r="I522"/>
      <c r="J522"/>
      <c r="K522"/>
      <c r="L522"/>
      <c r="M522"/>
      <c r="N522"/>
      <c r="AQ522"/>
      <c r="AT522"/>
      <c r="AW522"/>
      <c r="AZ522"/>
      <c r="BC522"/>
      <c r="BF522"/>
      <c r="BI522"/>
      <c r="BL522"/>
      <c r="BO522"/>
      <c r="BR522"/>
    </row>
    <row r="523" spans="1:70" x14ac:dyDescent="0.35">
      <c r="A523"/>
      <c r="B523"/>
      <c r="C523"/>
      <c r="D523"/>
      <c r="E523"/>
      <c r="F523"/>
      <c r="G523"/>
      <c r="H523"/>
      <c r="I523"/>
      <c r="J523"/>
      <c r="K523"/>
      <c r="L523"/>
      <c r="M523"/>
      <c r="N523"/>
      <c r="AQ523"/>
      <c r="AT523"/>
      <c r="AW523"/>
      <c r="AZ523"/>
      <c r="BC523"/>
      <c r="BF523"/>
      <c r="BI523"/>
      <c r="BL523"/>
      <c r="BO523"/>
      <c r="BR523"/>
    </row>
    <row r="524" spans="1:70" x14ac:dyDescent="0.35">
      <c r="A524"/>
      <c r="B524"/>
      <c r="C524"/>
      <c r="D524"/>
      <c r="E524"/>
      <c r="F524"/>
      <c r="G524"/>
      <c r="H524"/>
      <c r="I524"/>
      <c r="J524"/>
      <c r="K524"/>
      <c r="L524"/>
      <c r="M524"/>
      <c r="N524"/>
      <c r="AQ524"/>
      <c r="AT524"/>
      <c r="AW524"/>
      <c r="AZ524"/>
      <c r="BC524"/>
      <c r="BF524"/>
      <c r="BI524"/>
      <c r="BL524"/>
      <c r="BO524"/>
      <c r="BR524"/>
    </row>
    <row r="525" spans="1:70" x14ac:dyDescent="0.35">
      <c r="A525"/>
      <c r="B525"/>
      <c r="C525"/>
      <c r="D525"/>
      <c r="E525"/>
      <c r="F525"/>
      <c r="G525"/>
      <c r="H525"/>
      <c r="I525"/>
      <c r="J525"/>
      <c r="K525"/>
      <c r="L525"/>
      <c r="M525"/>
      <c r="N525"/>
      <c r="AQ525"/>
      <c r="AT525"/>
      <c r="AW525"/>
      <c r="AZ525"/>
      <c r="BC525"/>
      <c r="BF525"/>
      <c r="BI525"/>
      <c r="BL525"/>
      <c r="BO525"/>
      <c r="BR525"/>
    </row>
    <row r="526" spans="1:70" x14ac:dyDescent="0.35">
      <c r="A526"/>
      <c r="B526"/>
      <c r="C526"/>
      <c r="D526"/>
      <c r="E526"/>
      <c r="F526"/>
      <c r="G526"/>
      <c r="H526"/>
      <c r="I526"/>
      <c r="J526"/>
      <c r="K526"/>
      <c r="L526"/>
      <c r="M526"/>
      <c r="N526"/>
      <c r="AQ526"/>
      <c r="AT526"/>
      <c r="AW526"/>
      <c r="AZ526"/>
      <c r="BC526"/>
      <c r="BF526"/>
      <c r="BI526"/>
      <c r="BL526"/>
      <c r="BO526"/>
      <c r="BR526"/>
    </row>
    <row r="527" spans="1:70" x14ac:dyDescent="0.35">
      <c r="A527"/>
      <c r="B527"/>
      <c r="C527"/>
      <c r="D527"/>
      <c r="E527"/>
      <c r="F527"/>
      <c r="G527"/>
      <c r="H527"/>
      <c r="I527"/>
      <c r="J527"/>
      <c r="K527"/>
      <c r="L527"/>
      <c r="M527"/>
      <c r="N527"/>
      <c r="AQ527"/>
      <c r="AT527"/>
      <c r="AW527"/>
      <c r="AZ527"/>
      <c r="BC527"/>
      <c r="BF527"/>
      <c r="BI527"/>
      <c r="BL527"/>
      <c r="BO527"/>
      <c r="BR527"/>
    </row>
    <row r="528" spans="1:70" x14ac:dyDescent="0.35">
      <c r="A528"/>
      <c r="B528"/>
      <c r="C528"/>
      <c r="D528"/>
      <c r="E528"/>
      <c r="F528"/>
      <c r="G528"/>
      <c r="H528"/>
      <c r="I528"/>
      <c r="J528"/>
      <c r="K528"/>
      <c r="L528"/>
      <c r="M528"/>
      <c r="N528"/>
      <c r="AQ528"/>
      <c r="AT528"/>
      <c r="AW528"/>
      <c r="AZ528"/>
      <c r="BC528"/>
      <c r="BF528"/>
      <c r="BI528"/>
      <c r="BL528"/>
      <c r="BO528"/>
      <c r="BR528"/>
    </row>
    <row r="529" spans="1:70" x14ac:dyDescent="0.35">
      <c r="A529"/>
      <c r="B529"/>
      <c r="C529"/>
      <c r="D529"/>
      <c r="E529"/>
      <c r="F529"/>
      <c r="G529"/>
      <c r="H529"/>
      <c r="I529"/>
      <c r="J529"/>
      <c r="K529"/>
      <c r="L529"/>
      <c r="M529"/>
      <c r="N529"/>
      <c r="AQ529"/>
      <c r="AT529"/>
      <c r="AW529"/>
      <c r="AZ529"/>
      <c r="BC529"/>
      <c r="BF529"/>
      <c r="BI529"/>
      <c r="BL529"/>
      <c r="BO529"/>
      <c r="BR529"/>
    </row>
    <row r="530" spans="1:70" x14ac:dyDescent="0.35">
      <c r="A530"/>
      <c r="B530"/>
      <c r="C530"/>
      <c r="D530"/>
      <c r="E530"/>
      <c r="F530"/>
      <c r="G530"/>
      <c r="H530"/>
      <c r="I530"/>
      <c r="J530"/>
      <c r="K530"/>
      <c r="L530"/>
      <c r="M530"/>
      <c r="N530"/>
      <c r="AQ530"/>
      <c r="AT530"/>
      <c r="AW530"/>
      <c r="AZ530"/>
      <c r="BC530"/>
      <c r="BF530"/>
      <c r="BI530"/>
      <c r="BL530"/>
      <c r="BO530"/>
      <c r="BR530"/>
    </row>
    <row r="531" spans="1:70" x14ac:dyDescent="0.35">
      <c r="A531"/>
      <c r="B531"/>
      <c r="C531"/>
      <c r="D531"/>
      <c r="E531"/>
      <c r="F531"/>
      <c r="G531"/>
      <c r="H531"/>
      <c r="I531"/>
      <c r="J531"/>
      <c r="K531"/>
      <c r="L531"/>
      <c r="M531"/>
      <c r="N531"/>
      <c r="AQ531"/>
      <c r="AT531"/>
      <c r="AW531"/>
      <c r="AZ531"/>
      <c r="BC531"/>
      <c r="BF531"/>
      <c r="BI531"/>
      <c r="BL531"/>
      <c r="BO531"/>
      <c r="BR531"/>
    </row>
    <row r="532" spans="1:70" x14ac:dyDescent="0.35">
      <c r="A532"/>
      <c r="B532"/>
      <c r="C532"/>
      <c r="D532"/>
      <c r="E532"/>
      <c r="F532"/>
      <c r="G532"/>
      <c r="H532"/>
      <c r="I532"/>
      <c r="J532"/>
      <c r="K532"/>
      <c r="L532"/>
      <c r="M532"/>
      <c r="N532"/>
      <c r="AQ532"/>
      <c r="AT532"/>
      <c r="AW532"/>
      <c r="AZ532"/>
      <c r="BC532"/>
      <c r="BF532"/>
      <c r="BI532"/>
      <c r="BL532"/>
      <c r="BO532"/>
      <c r="BR532"/>
    </row>
    <row r="533" spans="1:70" x14ac:dyDescent="0.35">
      <c r="A533"/>
      <c r="B533"/>
      <c r="C533"/>
      <c r="D533"/>
      <c r="E533"/>
      <c r="F533"/>
      <c r="G533"/>
      <c r="H533"/>
      <c r="I533"/>
      <c r="J533"/>
      <c r="K533"/>
      <c r="L533"/>
      <c r="M533"/>
      <c r="N533"/>
      <c r="AQ533"/>
      <c r="AT533"/>
      <c r="AW533"/>
      <c r="AZ533"/>
      <c r="BC533"/>
      <c r="BF533"/>
      <c r="BI533"/>
      <c r="BL533"/>
      <c r="BO533"/>
      <c r="BR533"/>
    </row>
    <row r="534" spans="1:70" x14ac:dyDescent="0.35">
      <c r="A534"/>
      <c r="B534"/>
      <c r="C534"/>
      <c r="D534"/>
      <c r="E534"/>
      <c r="F534"/>
      <c r="G534"/>
      <c r="H534"/>
      <c r="I534"/>
      <c r="J534"/>
      <c r="K534"/>
      <c r="L534"/>
      <c r="M534"/>
      <c r="N534"/>
      <c r="AQ534"/>
      <c r="AT534"/>
      <c r="AW534"/>
      <c r="AZ534"/>
      <c r="BC534"/>
      <c r="BF534"/>
      <c r="BI534"/>
      <c r="BL534"/>
      <c r="BO534"/>
      <c r="BR534"/>
    </row>
    <row r="535" spans="1:70" x14ac:dyDescent="0.35">
      <c r="A535"/>
      <c r="B535"/>
      <c r="C535"/>
      <c r="D535"/>
      <c r="E535"/>
      <c r="F535"/>
      <c r="G535"/>
      <c r="H535"/>
      <c r="I535"/>
      <c r="J535"/>
      <c r="K535"/>
      <c r="L535"/>
      <c r="M535"/>
      <c r="N535"/>
      <c r="AQ535"/>
      <c r="AT535"/>
      <c r="AW535"/>
      <c r="AZ535"/>
      <c r="BC535"/>
      <c r="BF535"/>
      <c r="BI535"/>
      <c r="BL535"/>
      <c r="BO535"/>
      <c r="BR535"/>
    </row>
    <row r="536" spans="1:70" x14ac:dyDescent="0.35">
      <c r="A536"/>
      <c r="B536"/>
      <c r="C536"/>
      <c r="D536"/>
      <c r="E536"/>
      <c r="F536"/>
      <c r="G536"/>
      <c r="H536"/>
      <c r="I536"/>
      <c r="J536"/>
      <c r="K536"/>
      <c r="L536"/>
      <c r="M536"/>
      <c r="N536"/>
      <c r="AQ536"/>
      <c r="AT536"/>
      <c r="AW536"/>
      <c r="AZ536"/>
      <c r="BC536"/>
      <c r="BF536"/>
      <c r="BI536"/>
      <c r="BL536"/>
      <c r="BO536"/>
      <c r="BR536"/>
    </row>
    <row r="537" spans="1:70" x14ac:dyDescent="0.35">
      <c r="A537"/>
      <c r="B537"/>
      <c r="C537"/>
      <c r="D537"/>
      <c r="E537"/>
      <c r="F537"/>
      <c r="G537"/>
      <c r="H537"/>
      <c r="I537"/>
      <c r="J537"/>
      <c r="K537"/>
      <c r="L537"/>
      <c r="M537"/>
      <c r="N537"/>
      <c r="AQ537"/>
      <c r="AT537"/>
      <c r="AW537"/>
      <c r="AZ537"/>
      <c r="BC537"/>
      <c r="BF537"/>
      <c r="BI537"/>
      <c r="BL537"/>
      <c r="BO537"/>
      <c r="BR537"/>
    </row>
    <row r="538" spans="1:70" x14ac:dyDescent="0.35">
      <c r="A538"/>
      <c r="B538"/>
      <c r="C538"/>
      <c r="D538"/>
      <c r="E538"/>
      <c r="F538"/>
      <c r="G538"/>
      <c r="H538"/>
      <c r="I538"/>
      <c r="J538"/>
      <c r="K538"/>
      <c r="L538"/>
      <c r="M538"/>
      <c r="N538"/>
      <c r="AQ538"/>
      <c r="AT538"/>
      <c r="AW538"/>
      <c r="AZ538"/>
      <c r="BC538"/>
      <c r="BF538"/>
      <c r="BI538"/>
      <c r="BL538"/>
      <c r="BO538"/>
      <c r="BR538"/>
    </row>
    <row r="539" spans="1:70" x14ac:dyDescent="0.35">
      <c r="A539"/>
      <c r="B539"/>
      <c r="C539"/>
      <c r="D539"/>
      <c r="E539"/>
      <c r="F539"/>
      <c r="G539"/>
      <c r="H539"/>
      <c r="I539"/>
      <c r="J539"/>
      <c r="K539"/>
      <c r="L539"/>
      <c r="M539"/>
      <c r="N539"/>
      <c r="AQ539"/>
      <c r="AT539"/>
      <c r="AW539"/>
      <c r="AZ539"/>
      <c r="BC539"/>
      <c r="BF539"/>
      <c r="BI539"/>
      <c r="BL539"/>
      <c r="BO539"/>
      <c r="BR539"/>
    </row>
    <row r="540" spans="1:70" x14ac:dyDescent="0.35">
      <c r="A540"/>
      <c r="B540"/>
      <c r="C540"/>
      <c r="D540"/>
      <c r="E540"/>
      <c r="F540"/>
      <c r="G540"/>
      <c r="H540"/>
      <c r="I540"/>
      <c r="J540"/>
      <c r="K540"/>
      <c r="L540"/>
      <c r="M540"/>
      <c r="N540"/>
      <c r="AQ540"/>
      <c r="AT540"/>
      <c r="AW540"/>
      <c r="AZ540"/>
      <c r="BC540"/>
      <c r="BF540"/>
      <c r="BI540"/>
      <c r="BL540"/>
      <c r="BO540"/>
      <c r="BR540"/>
    </row>
    <row r="541" spans="1:70" x14ac:dyDescent="0.35">
      <c r="A541"/>
      <c r="B541"/>
      <c r="C541"/>
      <c r="D541"/>
      <c r="E541"/>
      <c r="F541"/>
      <c r="G541"/>
      <c r="H541"/>
      <c r="I541"/>
      <c r="J541"/>
      <c r="K541"/>
      <c r="L541"/>
      <c r="M541"/>
      <c r="N541"/>
      <c r="AQ541"/>
      <c r="AT541"/>
      <c r="AW541"/>
      <c r="AZ541"/>
      <c r="BC541"/>
      <c r="BF541"/>
      <c r="BI541"/>
      <c r="BL541"/>
      <c r="BO541"/>
      <c r="BR541"/>
    </row>
    <row r="542" spans="1:70" x14ac:dyDescent="0.35">
      <c r="A542"/>
      <c r="B542"/>
      <c r="C542"/>
      <c r="D542"/>
      <c r="E542"/>
      <c r="F542"/>
      <c r="G542"/>
      <c r="H542"/>
      <c r="I542"/>
      <c r="J542"/>
      <c r="K542"/>
      <c r="L542"/>
      <c r="M542"/>
      <c r="N542"/>
      <c r="AQ542"/>
      <c r="AT542"/>
      <c r="AW542"/>
      <c r="AZ542"/>
      <c r="BC542"/>
      <c r="BF542"/>
      <c r="BI542"/>
      <c r="BL542"/>
      <c r="BO542"/>
      <c r="BR542"/>
    </row>
    <row r="543" spans="1:70" x14ac:dyDescent="0.35">
      <c r="A543"/>
      <c r="B543"/>
      <c r="C543"/>
      <c r="D543"/>
      <c r="E543"/>
      <c r="F543"/>
      <c r="G543"/>
      <c r="H543"/>
      <c r="I543"/>
      <c r="J543"/>
      <c r="K543"/>
      <c r="L543"/>
      <c r="M543"/>
      <c r="N543"/>
      <c r="AQ543"/>
      <c r="AT543"/>
      <c r="AW543"/>
      <c r="AZ543"/>
      <c r="BC543"/>
      <c r="BF543"/>
      <c r="BI543"/>
      <c r="BL543"/>
      <c r="BO543"/>
      <c r="BR543"/>
    </row>
    <row r="544" spans="1:70" x14ac:dyDescent="0.35">
      <c r="A544"/>
      <c r="B544"/>
      <c r="C544"/>
      <c r="D544"/>
      <c r="E544"/>
      <c r="F544"/>
      <c r="G544"/>
      <c r="H544"/>
      <c r="I544"/>
      <c r="J544"/>
      <c r="K544"/>
      <c r="L544"/>
      <c r="M544"/>
      <c r="N544"/>
      <c r="AQ544"/>
      <c r="AT544"/>
      <c r="AW544"/>
      <c r="AZ544"/>
      <c r="BC544"/>
      <c r="BF544"/>
      <c r="BI544"/>
      <c r="BL544"/>
      <c r="BO544"/>
      <c r="BR544"/>
    </row>
    <row r="545" spans="1:70" x14ac:dyDescent="0.35">
      <c r="A545"/>
      <c r="B545"/>
      <c r="C545"/>
      <c r="D545"/>
      <c r="E545"/>
      <c r="F545"/>
      <c r="G545"/>
      <c r="H545"/>
      <c r="I545"/>
      <c r="J545"/>
      <c r="K545"/>
      <c r="L545"/>
      <c r="M545"/>
      <c r="N545"/>
      <c r="AQ545"/>
      <c r="AT545"/>
      <c r="AW545"/>
      <c r="AZ545"/>
      <c r="BC545"/>
      <c r="BF545"/>
      <c r="BI545"/>
      <c r="BL545"/>
      <c r="BO545"/>
      <c r="BR545"/>
    </row>
    <row r="546" spans="1:70" x14ac:dyDescent="0.35">
      <c r="A546"/>
      <c r="B546"/>
      <c r="C546"/>
      <c r="D546"/>
      <c r="E546"/>
      <c r="F546"/>
      <c r="G546"/>
      <c r="H546"/>
      <c r="I546"/>
      <c r="J546"/>
      <c r="K546"/>
      <c r="L546"/>
      <c r="M546"/>
      <c r="N546"/>
      <c r="AQ546"/>
      <c r="AT546"/>
      <c r="AW546"/>
      <c r="AZ546"/>
      <c r="BC546"/>
      <c r="BF546"/>
      <c r="BI546"/>
      <c r="BL546"/>
      <c r="BO546"/>
      <c r="BR546"/>
    </row>
    <row r="547" spans="1:70" x14ac:dyDescent="0.35">
      <c r="A547"/>
      <c r="B547"/>
      <c r="C547"/>
      <c r="D547"/>
      <c r="E547"/>
      <c r="F547"/>
      <c r="G547"/>
      <c r="H547"/>
      <c r="I547"/>
      <c r="J547"/>
      <c r="K547"/>
      <c r="L547"/>
      <c r="M547"/>
      <c r="N547"/>
      <c r="AQ547"/>
      <c r="AT547"/>
      <c r="AW547"/>
      <c r="AZ547"/>
      <c r="BC547"/>
      <c r="BF547"/>
      <c r="BI547"/>
      <c r="BL547"/>
      <c r="BO547"/>
      <c r="BR547"/>
    </row>
    <row r="548" spans="1:70" x14ac:dyDescent="0.35">
      <c r="A548"/>
      <c r="B548"/>
      <c r="C548"/>
      <c r="D548"/>
      <c r="E548"/>
      <c r="F548"/>
      <c r="G548"/>
      <c r="H548"/>
      <c r="I548"/>
      <c r="J548"/>
      <c r="K548"/>
      <c r="L548"/>
      <c r="M548"/>
      <c r="N548"/>
      <c r="AQ548"/>
      <c r="AT548"/>
      <c r="AW548"/>
      <c r="AZ548"/>
      <c r="BC548"/>
      <c r="BF548"/>
      <c r="BI548"/>
      <c r="BL548"/>
      <c r="BO548"/>
      <c r="BR548"/>
    </row>
    <row r="549" spans="1:70" x14ac:dyDescent="0.35">
      <c r="A549"/>
      <c r="B549"/>
      <c r="C549"/>
      <c r="D549"/>
      <c r="E549"/>
      <c r="F549"/>
      <c r="G549"/>
      <c r="H549"/>
      <c r="I549"/>
      <c r="J549"/>
      <c r="K549"/>
      <c r="L549"/>
      <c r="M549"/>
      <c r="N549"/>
      <c r="AQ549"/>
      <c r="AT549"/>
      <c r="AW549"/>
      <c r="AZ549"/>
      <c r="BC549"/>
      <c r="BF549"/>
      <c r="BI549"/>
      <c r="BL549"/>
      <c r="BO549"/>
      <c r="BR549"/>
    </row>
    <row r="550" spans="1:70" x14ac:dyDescent="0.35">
      <c r="A550"/>
      <c r="B550"/>
      <c r="C550"/>
      <c r="D550"/>
      <c r="E550"/>
      <c r="F550"/>
      <c r="G550"/>
      <c r="H550"/>
      <c r="I550"/>
      <c r="J550"/>
      <c r="K550"/>
      <c r="L550"/>
      <c r="M550"/>
      <c r="N550"/>
      <c r="AQ550"/>
      <c r="AT550"/>
      <c r="AW550"/>
      <c r="AZ550"/>
      <c r="BC550"/>
      <c r="BF550"/>
      <c r="BI550"/>
      <c r="BL550"/>
      <c r="BO550"/>
      <c r="BR550"/>
    </row>
    <row r="551" spans="1:70" x14ac:dyDescent="0.35">
      <c r="A551"/>
      <c r="B551"/>
      <c r="C551"/>
      <c r="D551"/>
      <c r="E551"/>
      <c r="F551"/>
      <c r="G551"/>
      <c r="H551"/>
      <c r="I551"/>
      <c r="J551"/>
      <c r="K551"/>
      <c r="L551"/>
      <c r="M551"/>
      <c r="N551"/>
      <c r="AQ551"/>
      <c r="AT551"/>
      <c r="AW551"/>
      <c r="AZ551"/>
      <c r="BC551"/>
      <c r="BF551"/>
      <c r="BI551"/>
      <c r="BL551"/>
      <c r="BO551"/>
      <c r="BR551"/>
    </row>
    <row r="552" spans="1:70" x14ac:dyDescent="0.35">
      <c r="A552"/>
      <c r="B552"/>
      <c r="C552"/>
      <c r="D552"/>
      <c r="E552"/>
      <c r="F552"/>
      <c r="G552"/>
      <c r="H552"/>
      <c r="I552"/>
      <c r="J552"/>
      <c r="K552"/>
      <c r="L552"/>
      <c r="M552"/>
      <c r="N552"/>
      <c r="AQ552"/>
      <c r="AT552"/>
      <c r="AW552"/>
      <c r="AZ552"/>
      <c r="BC552"/>
      <c r="BF552"/>
      <c r="BI552"/>
      <c r="BL552"/>
      <c r="BO552"/>
      <c r="BR552"/>
    </row>
    <row r="553" spans="1:70" x14ac:dyDescent="0.35">
      <c r="A553"/>
      <c r="B553"/>
      <c r="C553"/>
      <c r="D553"/>
      <c r="E553"/>
      <c r="F553"/>
      <c r="G553"/>
      <c r="H553"/>
      <c r="I553"/>
      <c r="J553"/>
      <c r="K553"/>
      <c r="L553"/>
      <c r="M553"/>
      <c r="N553"/>
      <c r="AQ553"/>
      <c r="AT553"/>
      <c r="AW553"/>
      <c r="AZ553"/>
      <c r="BC553"/>
      <c r="BF553"/>
      <c r="BI553"/>
      <c r="BL553"/>
      <c r="BO553"/>
      <c r="BR553"/>
    </row>
    <row r="554" spans="1:70" x14ac:dyDescent="0.35">
      <c r="A554"/>
      <c r="B554"/>
      <c r="C554"/>
      <c r="D554"/>
      <c r="E554"/>
      <c r="F554"/>
      <c r="G554"/>
      <c r="H554"/>
      <c r="I554"/>
      <c r="J554"/>
      <c r="K554"/>
      <c r="L554"/>
      <c r="M554"/>
      <c r="N554"/>
      <c r="AQ554"/>
      <c r="AT554"/>
      <c r="AW554"/>
      <c r="AZ554"/>
      <c r="BC554"/>
      <c r="BF554"/>
      <c r="BI554"/>
      <c r="BL554"/>
      <c r="BO554"/>
      <c r="BR554"/>
    </row>
    <row r="555" spans="1:70" x14ac:dyDescent="0.35">
      <c r="A555"/>
      <c r="B555"/>
      <c r="C555"/>
      <c r="D555"/>
      <c r="E555"/>
      <c r="F555"/>
      <c r="G555"/>
      <c r="H555"/>
      <c r="I555"/>
      <c r="J555"/>
      <c r="K555"/>
      <c r="L555"/>
      <c r="M555"/>
      <c r="N555"/>
      <c r="AQ555"/>
      <c r="AT555"/>
      <c r="AW555"/>
      <c r="AZ555"/>
      <c r="BC555"/>
      <c r="BF555"/>
      <c r="BI555"/>
      <c r="BL555"/>
      <c r="BO555"/>
      <c r="BR555"/>
    </row>
    <row r="556" spans="1:70" x14ac:dyDescent="0.35">
      <c r="A556"/>
      <c r="B556"/>
      <c r="C556"/>
      <c r="D556"/>
      <c r="E556"/>
      <c r="F556"/>
      <c r="G556"/>
      <c r="H556"/>
      <c r="I556"/>
      <c r="J556"/>
      <c r="K556"/>
      <c r="L556"/>
      <c r="M556"/>
      <c r="N556"/>
      <c r="AQ556"/>
      <c r="AT556"/>
      <c r="AW556"/>
      <c r="AZ556"/>
      <c r="BC556"/>
      <c r="BF556"/>
      <c r="BI556"/>
      <c r="BL556"/>
      <c r="BO556"/>
      <c r="BR556"/>
    </row>
    <row r="557" spans="1:70" x14ac:dyDescent="0.35">
      <c r="A557"/>
      <c r="B557"/>
      <c r="C557"/>
      <c r="D557"/>
      <c r="E557"/>
      <c r="F557"/>
      <c r="G557"/>
      <c r="H557"/>
      <c r="I557"/>
      <c r="J557"/>
      <c r="K557"/>
      <c r="L557"/>
      <c r="M557"/>
      <c r="N557"/>
      <c r="AQ557"/>
      <c r="AT557"/>
      <c r="AW557"/>
      <c r="AZ557"/>
      <c r="BC557"/>
      <c r="BF557"/>
      <c r="BI557"/>
      <c r="BL557"/>
      <c r="BO557"/>
      <c r="BR557"/>
    </row>
    <row r="558" spans="1:70" x14ac:dyDescent="0.35">
      <c r="A558"/>
      <c r="B558"/>
      <c r="C558"/>
      <c r="D558"/>
      <c r="E558"/>
      <c r="F558"/>
      <c r="G558"/>
      <c r="H558"/>
      <c r="I558"/>
      <c r="J558"/>
      <c r="K558"/>
      <c r="L558"/>
      <c r="M558"/>
      <c r="N558"/>
      <c r="AQ558"/>
      <c r="AT558"/>
      <c r="AW558"/>
      <c r="AZ558"/>
      <c r="BC558"/>
      <c r="BF558"/>
      <c r="BI558"/>
      <c r="BL558"/>
      <c r="BO558"/>
      <c r="BR558"/>
    </row>
    <row r="559" spans="1:70" x14ac:dyDescent="0.35">
      <c r="A559"/>
      <c r="B559"/>
      <c r="C559"/>
      <c r="D559"/>
      <c r="E559"/>
      <c r="F559"/>
      <c r="G559"/>
      <c r="H559"/>
      <c r="I559"/>
      <c r="J559"/>
      <c r="K559"/>
      <c r="L559"/>
      <c r="M559"/>
      <c r="N559"/>
      <c r="AQ559"/>
      <c r="AT559"/>
      <c r="AW559"/>
      <c r="AZ559"/>
      <c r="BC559"/>
      <c r="BF559"/>
      <c r="BI559"/>
      <c r="BL559"/>
      <c r="BO559"/>
      <c r="BR559"/>
    </row>
    <row r="560" spans="1:70" x14ac:dyDescent="0.35">
      <c r="A560"/>
      <c r="B560"/>
      <c r="C560"/>
      <c r="D560"/>
      <c r="E560"/>
      <c r="F560"/>
      <c r="G560"/>
      <c r="H560"/>
      <c r="I560"/>
      <c r="J560"/>
      <c r="K560"/>
      <c r="L560"/>
      <c r="M560"/>
      <c r="N560"/>
      <c r="AQ560"/>
      <c r="AT560"/>
      <c r="AW560"/>
      <c r="AZ560"/>
      <c r="BC560"/>
      <c r="BF560"/>
      <c r="BI560"/>
      <c r="BL560"/>
      <c r="BO560"/>
      <c r="BR560"/>
    </row>
    <row r="561" spans="1:70" x14ac:dyDescent="0.35">
      <c r="A561"/>
      <c r="B561"/>
      <c r="C561"/>
      <c r="D561"/>
      <c r="E561"/>
      <c r="F561"/>
      <c r="G561"/>
      <c r="H561"/>
      <c r="I561"/>
      <c r="J561"/>
      <c r="K561"/>
      <c r="L561"/>
      <c r="M561"/>
      <c r="N561"/>
      <c r="AQ561"/>
      <c r="AT561"/>
      <c r="AW561"/>
      <c r="AZ561"/>
      <c r="BC561"/>
      <c r="BF561"/>
      <c r="BI561"/>
      <c r="BL561"/>
      <c r="BO561"/>
      <c r="BR561"/>
    </row>
    <row r="562" spans="1:70" x14ac:dyDescent="0.35">
      <c r="A562" s="58"/>
      <c r="B562" s="56"/>
      <c r="C562" s="203"/>
      <c r="D562" s="203"/>
      <c r="E562" s="203"/>
      <c r="F562" s="203"/>
      <c r="G562" s="56"/>
      <c r="H562" s="203"/>
      <c r="I562" s="203"/>
      <c r="J562" s="56"/>
      <c r="K562" s="56"/>
      <c r="L562" s="56"/>
      <c r="M562" s="56"/>
      <c r="N562" s="200"/>
    </row>
    <row r="563" spans="1:70" x14ac:dyDescent="0.35">
      <c r="A563" s="58"/>
      <c r="B563" s="56"/>
      <c r="C563" s="203"/>
      <c r="D563" s="203"/>
      <c r="E563" s="203"/>
      <c r="F563" s="203"/>
      <c r="G563" s="56"/>
      <c r="H563" s="203"/>
      <c r="I563" s="203"/>
      <c r="J563" s="56"/>
      <c r="K563" s="56"/>
      <c r="L563" s="56"/>
      <c r="M563" s="56"/>
      <c r="N563" s="200"/>
    </row>
    <row r="564" spans="1:70" x14ac:dyDescent="0.35">
      <c r="A564" s="58"/>
      <c r="B564" s="56"/>
      <c r="C564" s="203"/>
      <c r="D564" s="203"/>
      <c r="E564" s="203"/>
      <c r="F564" s="203"/>
      <c r="G564" s="56"/>
      <c r="H564" s="203"/>
      <c r="I564" s="203"/>
      <c r="J564" s="56"/>
      <c r="K564" s="56"/>
      <c r="L564" s="56"/>
      <c r="M564" s="56"/>
      <c r="N564" s="200"/>
    </row>
    <row r="565" spans="1:70" x14ac:dyDescent="0.35">
      <c r="A565" s="58"/>
      <c r="B565" s="56"/>
      <c r="C565" s="203"/>
      <c r="D565" s="203"/>
      <c r="E565" s="203"/>
      <c r="F565" s="203"/>
      <c r="G565" s="56"/>
      <c r="H565" s="203"/>
      <c r="I565" s="203"/>
      <c r="J565" s="56"/>
      <c r="K565" s="56"/>
      <c r="L565" s="56"/>
      <c r="M565" s="56"/>
      <c r="N565" s="200"/>
    </row>
    <row r="566" spans="1:70" x14ac:dyDescent="0.35">
      <c r="A566" s="58"/>
      <c r="B566" s="56"/>
      <c r="C566" s="203"/>
      <c r="D566" s="203"/>
      <c r="E566" s="203"/>
      <c r="F566" s="203"/>
      <c r="G566" s="56"/>
      <c r="H566" s="203"/>
      <c r="I566" s="203"/>
      <c r="J566" s="56"/>
      <c r="K566" s="56"/>
      <c r="L566" s="56"/>
      <c r="M566" s="56"/>
      <c r="N566" s="200"/>
    </row>
    <row r="567" spans="1:70" x14ac:dyDescent="0.35">
      <c r="A567" s="58"/>
      <c r="B567" s="56"/>
      <c r="C567" s="203"/>
      <c r="D567" s="203"/>
      <c r="E567" s="203"/>
      <c r="F567" s="203"/>
      <c r="G567" s="56"/>
      <c r="H567" s="203"/>
      <c r="I567" s="203"/>
      <c r="J567" s="56"/>
      <c r="K567" s="56"/>
      <c r="L567" s="56"/>
      <c r="M567" s="56"/>
      <c r="N567" s="200"/>
    </row>
    <row r="568" spans="1:70" x14ac:dyDescent="0.35">
      <c r="A568" s="58"/>
      <c r="B568" s="56"/>
      <c r="C568" s="203"/>
      <c r="D568" s="203"/>
      <c r="E568" s="203"/>
      <c r="F568" s="203"/>
      <c r="G568" s="56"/>
      <c r="H568" s="203"/>
      <c r="I568" s="203"/>
      <c r="J568" s="56"/>
      <c r="K568" s="56"/>
      <c r="L568" s="56"/>
      <c r="M568" s="56"/>
      <c r="N568" s="200"/>
    </row>
    <row r="569" spans="1:70" x14ac:dyDescent="0.35">
      <c r="A569" s="58"/>
      <c r="B569" s="56"/>
      <c r="C569" s="203"/>
      <c r="D569" s="203"/>
      <c r="E569" s="203"/>
      <c r="F569" s="203"/>
      <c r="G569" s="56"/>
      <c r="H569" s="203"/>
      <c r="I569" s="203"/>
      <c r="J569" s="56"/>
      <c r="K569" s="56"/>
      <c r="L569" s="56"/>
      <c r="M569" s="56"/>
      <c r="N569" s="200"/>
    </row>
    <row r="570" spans="1:70" x14ac:dyDescent="0.35">
      <c r="A570" s="58"/>
      <c r="B570" s="56"/>
      <c r="C570" s="203"/>
      <c r="D570" s="203"/>
      <c r="E570" s="203"/>
      <c r="F570" s="203"/>
      <c r="G570" s="56"/>
      <c r="H570" s="203"/>
      <c r="I570" s="203"/>
      <c r="J570" s="56"/>
      <c r="K570" s="56"/>
      <c r="L570" s="56"/>
      <c r="M570" s="56"/>
      <c r="N570" s="200"/>
    </row>
    <row r="571" spans="1:70" x14ac:dyDescent="0.35">
      <c r="A571" s="58"/>
      <c r="B571" s="56"/>
      <c r="C571" s="203"/>
      <c r="D571" s="203"/>
      <c r="E571" s="203"/>
      <c r="F571" s="203"/>
      <c r="G571" s="56"/>
      <c r="H571" s="203"/>
      <c r="I571" s="203"/>
      <c r="J571" s="56"/>
      <c r="K571" s="56"/>
      <c r="L571" s="56"/>
      <c r="M571" s="56"/>
      <c r="N571" s="200"/>
    </row>
    <row r="572" spans="1:70" x14ac:dyDescent="0.35">
      <c r="A572" s="58"/>
      <c r="B572" s="56"/>
      <c r="C572" s="203"/>
      <c r="D572" s="203"/>
      <c r="E572" s="203"/>
      <c r="F572" s="203"/>
      <c r="G572" s="56"/>
      <c r="H572" s="203"/>
      <c r="I572" s="203"/>
      <c r="J572" s="56"/>
      <c r="K572" s="56"/>
      <c r="L572" s="56"/>
      <c r="M572" s="56"/>
      <c r="N572" s="200"/>
    </row>
    <row r="573" spans="1:70" x14ac:dyDescent="0.35">
      <c r="A573" s="58"/>
      <c r="B573" s="56"/>
      <c r="C573" s="203"/>
      <c r="D573" s="203"/>
      <c r="E573" s="203"/>
      <c r="F573" s="203"/>
      <c r="G573" s="56"/>
      <c r="H573" s="203"/>
      <c r="I573" s="203"/>
      <c r="J573" s="56"/>
      <c r="K573" s="56"/>
      <c r="L573" s="56"/>
      <c r="M573" s="56"/>
      <c r="N573" s="200"/>
    </row>
    <row r="574" spans="1:70" x14ac:dyDescent="0.35">
      <c r="A574" s="58"/>
      <c r="B574" s="56"/>
      <c r="C574" s="203"/>
      <c r="D574" s="203"/>
      <c r="E574" s="203"/>
      <c r="F574" s="203"/>
      <c r="G574" s="56"/>
      <c r="H574" s="203"/>
      <c r="I574" s="203"/>
      <c r="J574" s="56"/>
      <c r="K574" s="56"/>
      <c r="L574" s="56"/>
      <c r="M574" s="56"/>
      <c r="N574" s="200"/>
    </row>
    <row r="575" spans="1:70" x14ac:dyDescent="0.35">
      <c r="A575" s="58"/>
      <c r="B575" s="56"/>
      <c r="C575" s="203"/>
      <c r="D575" s="203"/>
      <c r="E575" s="203"/>
      <c r="F575" s="203"/>
      <c r="G575" s="56"/>
      <c r="H575" s="203"/>
      <c r="I575" s="203"/>
      <c r="J575" s="56"/>
      <c r="K575" s="56"/>
      <c r="L575" s="56"/>
      <c r="M575" s="56"/>
      <c r="N575" s="200"/>
    </row>
    <row r="576" spans="1:70" x14ac:dyDescent="0.35">
      <c r="A576" s="58"/>
      <c r="B576" s="56"/>
      <c r="C576" s="203"/>
      <c r="D576" s="203"/>
      <c r="E576" s="203"/>
      <c r="F576" s="203"/>
      <c r="G576" s="56"/>
      <c r="H576" s="203"/>
      <c r="I576" s="203"/>
      <c r="J576" s="56"/>
      <c r="K576" s="56"/>
      <c r="L576" s="56"/>
      <c r="M576" s="56"/>
      <c r="N576" s="200"/>
    </row>
    <row r="577" spans="1:14" x14ac:dyDescent="0.35">
      <c r="A577" s="58"/>
      <c r="B577" s="56"/>
      <c r="C577" s="203"/>
      <c r="D577" s="203"/>
      <c r="E577" s="203"/>
      <c r="F577" s="203"/>
      <c r="G577" s="56"/>
      <c r="H577" s="203"/>
      <c r="I577" s="203"/>
      <c r="J577" s="56"/>
      <c r="K577" s="56"/>
      <c r="L577" s="56"/>
      <c r="M577" s="56"/>
      <c r="N577" s="200"/>
    </row>
    <row r="578" spans="1:14" x14ac:dyDescent="0.35">
      <c r="A578" s="58"/>
      <c r="B578" s="56"/>
      <c r="C578" s="203"/>
      <c r="D578" s="203"/>
      <c r="E578" s="203"/>
      <c r="F578" s="203"/>
      <c r="G578" s="56"/>
      <c r="H578" s="203"/>
      <c r="I578" s="203"/>
      <c r="J578" s="56"/>
      <c r="K578" s="56"/>
      <c r="L578" s="56"/>
      <c r="M578" s="56"/>
      <c r="N578" s="200"/>
    </row>
    <row r="579" spans="1:14" x14ac:dyDescent="0.35">
      <c r="A579" s="58"/>
      <c r="B579" s="56"/>
      <c r="C579" s="203"/>
      <c r="D579" s="203"/>
      <c r="E579" s="203"/>
      <c r="F579" s="203"/>
      <c r="G579" s="56"/>
      <c r="H579" s="203"/>
      <c r="I579" s="203"/>
      <c r="J579" s="56"/>
      <c r="K579" s="56"/>
      <c r="L579" s="56"/>
      <c r="M579" s="56"/>
      <c r="N579" s="200"/>
    </row>
    <row r="580" spans="1:14" x14ac:dyDescent="0.35">
      <c r="A580" s="58"/>
      <c r="B580" s="56"/>
      <c r="C580" s="203"/>
      <c r="D580" s="203"/>
      <c r="E580" s="203"/>
      <c r="F580" s="203"/>
      <c r="G580" s="56"/>
      <c r="H580" s="203"/>
      <c r="I580" s="203"/>
      <c r="J580" s="56"/>
      <c r="K580" s="56"/>
      <c r="L580" s="56"/>
      <c r="M580" s="56"/>
      <c r="N580" s="200"/>
    </row>
    <row r="581" spans="1:14" x14ac:dyDescent="0.35">
      <c r="A581" s="58"/>
      <c r="B581" s="56"/>
      <c r="C581" s="203"/>
      <c r="D581" s="203"/>
      <c r="E581" s="203"/>
      <c r="F581" s="203"/>
      <c r="G581" s="56"/>
      <c r="H581" s="203"/>
      <c r="I581" s="203"/>
      <c r="J581" s="56"/>
      <c r="K581" s="56"/>
      <c r="L581" s="56"/>
      <c r="M581" s="56"/>
      <c r="N581" s="200"/>
    </row>
    <row r="582" spans="1:14" x14ac:dyDescent="0.35">
      <c r="A582" s="58"/>
      <c r="B582" s="56"/>
      <c r="C582" s="203"/>
      <c r="D582" s="203"/>
      <c r="E582" s="203"/>
      <c r="F582" s="203"/>
      <c r="G582" s="56"/>
      <c r="H582" s="203"/>
      <c r="I582" s="203"/>
      <c r="J582" s="56"/>
      <c r="K582" s="56"/>
      <c r="L582" s="56"/>
      <c r="M582" s="56"/>
      <c r="N582" s="200"/>
    </row>
    <row r="583" spans="1:14" x14ac:dyDescent="0.35">
      <c r="A583" s="58"/>
      <c r="B583" s="56"/>
      <c r="C583" s="203"/>
      <c r="D583" s="203"/>
      <c r="E583" s="203"/>
      <c r="F583" s="203"/>
      <c r="G583" s="56"/>
      <c r="H583" s="203"/>
      <c r="I583" s="203"/>
      <c r="J583" s="56"/>
      <c r="K583" s="56"/>
      <c r="L583" s="56"/>
      <c r="M583" s="56"/>
      <c r="N583" s="200"/>
    </row>
    <row r="584" spans="1:14" x14ac:dyDescent="0.35">
      <c r="A584" s="58"/>
      <c r="B584" s="56"/>
      <c r="C584" s="203"/>
      <c r="D584" s="203"/>
      <c r="E584" s="203"/>
      <c r="F584" s="203"/>
      <c r="G584" s="56"/>
      <c r="H584" s="203"/>
      <c r="I584" s="203"/>
      <c r="J584" s="56"/>
      <c r="K584" s="56"/>
      <c r="L584" s="56"/>
      <c r="M584" s="56"/>
      <c r="N584" s="200"/>
    </row>
    <row r="585" spans="1:14" x14ac:dyDescent="0.35">
      <c r="A585" s="58"/>
      <c r="B585" s="56"/>
      <c r="C585" s="203"/>
      <c r="D585" s="203"/>
      <c r="E585" s="203"/>
      <c r="F585" s="203"/>
      <c r="G585" s="56"/>
      <c r="H585" s="203"/>
      <c r="I585" s="203"/>
      <c r="J585" s="56"/>
      <c r="K585" s="56"/>
      <c r="L585" s="56"/>
      <c r="M585" s="56"/>
      <c r="N585" s="200"/>
    </row>
    <row r="586" spans="1:14" x14ac:dyDescent="0.35">
      <c r="A586" s="58"/>
      <c r="B586" s="56"/>
      <c r="C586" s="203"/>
      <c r="D586" s="203"/>
      <c r="E586" s="203"/>
      <c r="F586" s="203"/>
      <c r="G586" s="56"/>
      <c r="H586" s="203"/>
      <c r="I586" s="203"/>
      <c r="J586" s="56"/>
      <c r="K586" s="56"/>
      <c r="L586" s="56"/>
      <c r="M586" s="56"/>
      <c r="N586" s="200"/>
    </row>
    <row r="587" spans="1:14" x14ac:dyDescent="0.35">
      <c r="A587" s="58"/>
      <c r="B587" s="56"/>
      <c r="C587" s="203"/>
      <c r="D587" s="203"/>
      <c r="E587" s="203"/>
      <c r="F587" s="203"/>
      <c r="G587" s="56"/>
      <c r="H587" s="203"/>
      <c r="I587" s="203"/>
      <c r="J587" s="56"/>
      <c r="K587" s="56"/>
      <c r="L587" s="56"/>
      <c r="M587" s="56"/>
      <c r="N587" s="200"/>
    </row>
    <row r="588" spans="1:14" x14ac:dyDescent="0.35">
      <c r="A588" s="58"/>
      <c r="B588" s="56"/>
      <c r="C588" s="203"/>
      <c r="D588" s="203"/>
      <c r="E588" s="203"/>
      <c r="F588" s="203"/>
      <c r="G588" s="56"/>
      <c r="H588" s="203"/>
      <c r="I588" s="203"/>
      <c r="J588" s="56"/>
      <c r="K588" s="56"/>
      <c r="L588" s="56"/>
      <c r="M588" s="56"/>
      <c r="N588" s="200"/>
    </row>
    <row r="589" spans="1:14" x14ac:dyDescent="0.35">
      <c r="A589" s="58"/>
      <c r="B589" s="56"/>
      <c r="C589" s="203"/>
      <c r="D589" s="203"/>
      <c r="E589" s="203"/>
      <c r="F589" s="203"/>
      <c r="G589" s="56"/>
      <c r="H589" s="203"/>
      <c r="I589" s="203"/>
      <c r="J589" s="56"/>
      <c r="K589" s="56"/>
      <c r="L589" s="56"/>
      <c r="M589" s="56"/>
      <c r="N589" s="200"/>
    </row>
    <row r="590" spans="1:14" x14ac:dyDescent="0.35">
      <c r="A590" s="58"/>
      <c r="B590" s="56"/>
      <c r="C590" s="203"/>
      <c r="D590" s="203"/>
      <c r="E590" s="203"/>
      <c r="F590" s="203"/>
      <c r="G590" s="56"/>
      <c r="H590" s="203"/>
      <c r="I590" s="203"/>
      <c r="J590" s="56"/>
      <c r="K590" s="56"/>
      <c r="L590" s="56"/>
      <c r="M590" s="56"/>
      <c r="N590" s="200"/>
    </row>
    <row r="591" spans="1:14" x14ac:dyDescent="0.35">
      <c r="A591" s="58"/>
      <c r="B591" s="56"/>
      <c r="C591" s="203"/>
      <c r="D591" s="203"/>
      <c r="E591" s="203"/>
      <c r="F591" s="203"/>
      <c r="G591" s="56"/>
      <c r="H591" s="203"/>
      <c r="I591" s="203"/>
      <c r="J591" s="56"/>
      <c r="K591" s="56"/>
      <c r="L591" s="56"/>
      <c r="M591" s="56"/>
      <c r="N591" s="200"/>
    </row>
    <row r="592" spans="1:14" x14ac:dyDescent="0.35">
      <c r="A592" s="58"/>
      <c r="B592" s="56"/>
      <c r="C592" s="203"/>
      <c r="D592" s="203"/>
      <c r="E592" s="203"/>
      <c r="F592" s="203"/>
      <c r="G592" s="56"/>
      <c r="H592" s="203"/>
      <c r="I592" s="203"/>
      <c r="J592" s="56"/>
      <c r="K592" s="56"/>
      <c r="L592" s="56"/>
      <c r="M592" s="56"/>
      <c r="N592" s="200"/>
    </row>
    <row r="593" spans="1:14" x14ac:dyDescent="0.35">
      <c r="A593" s="58"/>
      <c r="B593" s="56"/>
      <c r="C593" s="203"/>
      <c r="D593" s="203"/>
      <c r="E593" s="203"/>
      <c r="F593" s="203"/>
      <c r="G593" s="56"/>
      <c r="H593" s="203"/>
      <c r="I593" s="203"/>
      <c r="J593" s="56"/>
      <c r="K593" s="56"/>
      <c r="L593" s="56"/>
      <c r="M593" s="56"/>
      <c r="N593" s="200"/>
    </row>
    <row r="594" spans="1:14" x14ac:dyDescent="0.35">
      <c r="A594" s="58"/>
      <c r="B594" s="56"/>
      <c r="C594" s="203"/>
      <c r="D594" s="203"/>
      <c r="E594" s="203"/>
      <c r="F594" s="203"/>
      <c r="G594" s="56"/>
      <c r="H594" s="203"/>
      <c r="I594" s="203"/>
      <c r="J594" s="56"/>
      <c r="K594" s="56"/>
      <c r="L594" s="56"/>
      <c r="M594" s="56"/>
      <c r="N594" s="200"/>
    </row>
    <row r="595" spans="1:14" x14ac:dyDescent="0.35">
      <c r="A595" s="58"/>
      <c r="B595" s="56"/>
      <c r="C595" s="203"/>
      <c r="D595" s="203"/>
      <c r="E595" s="203"/>
      <c r="F595" s="203"/>
      <c r="G595" s="56"/>
      <c r="H595" s="203"/>
      <c r="I595" s="203"/>
      <c r="J595" s="56"/>
      <c r="K595" s="56"/>
      <c r="L595" s="56"/>
      <c r="M595" s="56"/>
      <c r="N595" s="200"/>
    </row>
    <row r="596" spans="1:14" x14ac:dyDescent="0.35">
      <c r="A596" s="58"/>
      <c r="B596" s="56"/>
      <c r="C596" s="203"/>
      <c r="D596" s="203"/>
      <c r="E596" s="203"/>
      <c r="F596" s="203"/>
      <c r="G596" s="56"/>
      <c r="H596" s="203"/>
      <c r="I596" s="203"/>
      <c r="J596" s="56"/>
      <c r="K596" s="56"/>
      <c r="L596" s="56"/>
      <c r="M596" s="56"/>
      <c r="N596" s="200"/>
    </row>
    <row r="597" spans="1:14" x14ac:dyDescent="0.35">
      <c r="A597" s="58"/>
      <c r="B597" s="56"/>
      <c r="C597" s="203"/>
      <c r="D597" s="203"/>
      <c r="E597" s="203"/>
      <c r="F597" s="203"/>
      <c r="G597" s="56"/>
      <c r="H597" s="203"/>
      <c r="I597" s="203"/>
      <c r="J597" s="56"/>
      <c r="K597" s="56"/>
      <c r="L597" s="56"/>
      <c r="M597" s="56"/>
      <c r="N597" s="200"/>
    </row>
    <row r="598" spans="1:14" x14ac:dyDescent="0.35">
      <c r="A598" s="58"/>
      <c r="B598" s="56"/>
      <c r="C598" s="203"/>
      <c r="D598" s="203"/>
      <c r="E598" s="203"/>
      <c r="F598" s="203"/>
      <c r="G598" s="56"/>
      <c r="H598" s="203"/>
      <c r="I598" s="203"/>
      <c r="J598" s="56"/>
      <c r="K598" s="56"/>
      <c r="L598" s="56"/>
      <c r="M598" s="56"/>
      <c r="N598" s="200"/>
    </row>
    <row r="599" spans="1:14" x14ac:dyDescent="0.35">
      <c r="A599" s="58"/>
      <c r="B599" s="56"/>
      <c r="C599" s="203"/>
      <c r="D599" s="203"/>
      <c r="E599" s="203"/>
      <c r="F599" s="203"/>
      <c r="G599" s="56"/>
      <c r="H599" s="203"/>
      <c r="I599" s="203"/>
      <c r="J599" s="56"/>
      <c r="K599" s="56"/>
      <c r="L599" s="56"/>
      <c r="M599" s="56"/>
      <c r="N599" s="200"/>
    </row>
    <row r="600" spans="1:14" x14ac:dyDescent="0.35">
      <c r="A600" s="58"/>
      <c r="B600" s="56"/>
      <c r="C600" s="203"/>
      <c r="D600" s="203"/>
      <c r="E600" s="203"/>
      <c r="F600" s="203"/>
      <c r="G600" s="56"/>
      <c r="H600" s="203"/>
      <c r="I600" s="203"/>
      <c r="J600" s="56"/>
      <c r="K600" s="56"/>
      <c r="L600" s="56"/>
      <c r="M600" s="56"/>
      <c r="N600" s="200"/>
    </row>
    <row r="601" spans="1:14" x14ac:dyDescent="0.35">
      <c r="A601" s="58"/>
      <c r="B601" s="56"/>
      <c r="C601" s="203"/>
      <c r="D601" s="203"/>
      <c r="E601" s="203"/>
      <c r="F601" s="203"/>
      <c r="G601" s="56"/>
      <c r="H601" s="203"/>
      <c r="I601" s="203"/>
      <c r="J601" s="56"/>
      <c r="K601" s="56"/>
      <c r="L601" s="56"/>
      <c r="M601" s="56"/>
      <c r="N601" s="200"/>
    </row>
    <row r="602" spans="1:14" x14ac:dyDescent="0.35">
      <c r="A602" s="58"/>
      <c r="B602" s="56"/>
      <c r="C602" s="203"/>
      <c r="D602" s="203"/>
      <c r="E602" s="203"/>
      <c r="F602" s="203"/>
      <c r="G602" s="56"/>
      <c r="H602" s="203"/>
      <c r="I602" s="203"/>
      <c r="J602" s="56"/>
      <c r="K602" s="56"/>
      <c r="L602" s="56"/>
      <c r="M602" s="56"/>
      <c r="N602" s="200"/>
    </row>
    <row r="603" spans="1:14" x14ac:dyDescent="0.35">
      <c r="A603" s="58"/>
      <c r="B603" s="56"/>
      <c r="C603" s="203"/>
      <c r="D603" s="203"/>
      <c r="E603" s="203"/>
      <c r="F603" s="203"/>
      <c r="G603" s="56"/>
      <c r="H603" s="203"/>
      <c r="I603" s="203"/>
      <c r="J603" s="56"/>
      <c r="K603" s="56"/>
      <c r="L603" s="56"/>
      <c r="M603" s="56"/>
      <c r="N603" s="200"/>
    </row>
    <row r="604" spans="1:14" x14ac:dyDescent="0.35">
      <c r="A604" s="58"/>
      <c r="B604" s="56"/>
      <c r="C604" s="203"/>
      <c r="D604" s="203"/>
      <c r="E604" s="203"/>
      <c r="F604" s="203"/>
      <c r="G604" s="56"/>
      <c r="H604" s="203"/>
      <c r="I604" s="203"/>
      <c r="J604" s="56"/>
      <c r="K604" s="56"/>
      <c r="L604" s="56"/>
      <c r="M604" s="56"/>
      <c r="N604" s="200"/>
    </row>
    <row r="605" spans="1:14" x14ac:dyDescent="0.35">
      <c r="A605" s="58"/>
      <c r="B605" s="56"/>
      <c r="C605" s="203"/>
      <c r="D605" s="203"/>
      <c r="E605" s="203"/>
      <c r="F605" s="203"/>
      <c r="G605" s="56"/>
      <c r="H605" s="203"/>
      <c r="I605" s="203"/>
      <c r="J605" s="56"/>
      <c r="K605" s="56"/>
      <c r="L605" s="56"/>
      <c r="M605" s="56"/>
      <c r="N605" s="200"/>
    </row>
    <row r="606" spans="1:14" x14ac:dyDescent="0.35">
      <c r="A606" s="58"/>
      <c r="B606" s="56"/>
      <c r="C606" s="203"/>
      <c r="D606" s="203"/>
      <c r="E606" s="203"/>
      <c r="F606" s="203"/>
      <c r="G606" s="56"/>
      <c r="H606" s="203"/>
      <c r="I606" s="203"/>
      <c r="J606" s="56"/>
      <c r="K606" s="56"/>
      <c r="L606" s="56"/>
      <c r="M606" s="56"/>
      <c r="N606" s="200"/>
    </row>
    <row r="607" spans="1:14" x14ac:dyDescent="0.35">
      <c r="A607" s="58"/>
      <c r="B607" s="56"/>
      <c r="C607" s="203"/>
      <c r="D607" s="203"/>
      <c r="E607" s="203"/>
      <c r="F607" s="203"/>
      <c r="G607" s="56"/>
      <c r="H607" s="203"/>
      <c r="I607" s="203"/>
      <c r="J607" s="56"/>
      <c r="K607" s="56"/>
      <c r="L607" s="56"/>
      <c r="M607" s="56"/>
      <c r="N607" s="200"/>
    </row>
    <row r="608" spans="1:14" x14ac:dyDescent="0.35">
      <c r="A608" s="58"/>
      <c r="B608" s="56"/>
      <c r="C608" s="203"/>
      <c r="D608" s="203"/>
      <c r="E608" s="203"/>
      <c r="F608" s="203"/>
      <c r="G608" s="56"/>
      <c r="H608" s="203"/>
      <c r="I608" s="203"/>
      <c r="J608" s="56"/>
      <c r="K608" s="56"/>
      <c r="L608" s="56"/>
      <c r="M608" s="56"/>
      <c r="N608" s="200"/>
    </row>
    <row r="609" spans="1:14" x14ac:dyDescent="0.35">
      <c r="A609" s="58"/>
      <c r="B609" s="56"/>
      <c r="C609" s="203"/>
      <c r="D609" s="203"/>
      <c r="E609" s="203"/>
      <c r="F609" s="203"/>
      <c r="G609" s="56"/>
      <c r="H609" s="203"/>
      <c r="I609" s="203"/>
      <c r="J609" s="56"/>
      <c r="K609" s="56"/>
      <c r="L609" s="56"/>
      <c r="M609" s="56"/>
      <c r="N609" s="200"/>
    </row>
    <row r="610" spans="1:14" x14ac:dyDescent="0.35">
      <c r="A610" s="58"/>
      <c r="B610" s="56"/>
      <c r="C610" s="203"/>
      <c r="D610" s="203"/>
      <c r="E610" s="203"/>
      <c r="F610" s="203"/>
      <c r="G610" s="56"/>
      <c r="H610" s="203"/>
      <c r="I610" s="203"/>
      <c r="J610" s="56"/>
      <c r="K610" s="56"/>
      <c r="L610" s="56"/>
      <c r="M610" s="56"/>
      <c r="N610" s="200"/>
    </row>
    <row r="611" spans="1:14" x14ac:dyDescent="0.35">
      <c r="A611" s="58"/>
      <c r="B611" s="56"/>
      <c r="C611" s="203"/>
      <c r="D611" s="203"/>
      <c r="E611" s="203"/>
      <c r="F611" s="203"/>
      <c r="G611" s="56"/>
      <c r="H611" s="203"/>
      <c r="I611" s="203"/>
      <c r="J611" s="56"/>
      <c r="K611" s="56"/>
      <c r="L611" s="56"/>
      <c r="M611" s="56"/>
      <c r="N611" s="200"/>
    </row>
    <row r="612" spans="1:14" x14ac:dyDescent="0.35">
      <c r="A612" s="58"/>
      <c r="B612" s="56"/>
      <c r="C612" s="203"/>
      <c r="D612" s="203"/>
      <c r="E612" s="203"/>
      <c r="F612" s="203"/>
      <c r="G612" s="56"/>
      <c r="H612" s="203"/>
      <c r="I612" s="203"/>
      <c r="J612" s="56"/>
      <c r="K612" s="56"/>
      <c r="L612" s="56"/>
      <c r="M612" s="56"/>
      <c r="N612" s="200"/>
    </row>
    <row r="613" spans="1:14" x14ac:dyDescent="0.35">
      <c r="A613" s="58"/>
      <c r="B613" s="56"/>
      <c r="C613" s="203"/>
      <c r="D613" s="203"/>
      <c r="E613" s="203"/>
      <c r="F613" s="203"/>
      <c r="G613" s="56"/>
      <c r="H613" s="203"/>
      <c r="I613" s="203"/>
      <c r="J613" s="56"/>
      <c r="K613" s="56"/>
      <c r="L613" s="56"/>
      <c r="M613" s="56"/>
      <c r="N613" s="200"/>
    </row>
    <row r="614" spans="1:14" x14ac:dyDescent="0.35">
      <c r="A614" s="58"/>
      <c r="B614" s="56"/>
      <c r="C614" s="203"/>
      <c r="D614" s="203"/>
      <c r="E614" s="203"/>
      <c r="F614" s="203"/>
      <c r="G614" s="56"/>
      <c r="H614" s="203"/>
      <c r="I614" s="203"/>
      <c r="J614" s="56"/>
      <c r="K614" s="56"/>
      <c r="L614" s="56"/>
      <c r="M614" s="56"/>
      <c r="N614" s="200"/>
    </row>
    <row r="615" spans="1:14" x14ac:dyDescent="0.35">
      <c r="A615" s="58"/>
      <c r="B615" s="56"/>
      <c r="C615" s="203"/>
      <c r="D615" s="203"/>
      <c r="E615" s="203"/>
      <c r="F615" s="203"/>
      <c r="G615" s="56"/>
      <c r="H615" s="203"/>
      <c r="I615" s="203"/>
      <c r="J615" s="56"/>
      <c r="K615" s="56"/>
      <c r="L615" s="56"/>
      <c r="M615" s="56"/>
      <c r="N615" s="200"/>
    </row>
    <row r="616" spans="1:14" x14ac:dyDescent="0.35">
      <c r="A616" s="58"/>
      <c r="B616" s="56"/>
      <c r="C616" s="203"/>
      <c r="D616" s="203"/>
      <c r="E616" s="203"/>
      <c r="F616" s="203"/>
      <c r="G616" s="56"/>
      <c r="H616" s="203"/>
      <c r="I616" s="203"/>
      <c r="J616" s="56"/>
      <c r="K616" s="56"/>
      <c r="L616" s="56"/>
      <c r="M616" s="56"/>
      <c r="N616" s="200"/>
    </row>
    <row r="617" spans="1:14" x14ac:dyDescent="0.35">
      <c r="A617" s="58"/>
      <c r="B617" s="56"/>
      <c r="C617" s="203"/>
      <c r="D617" s="203"/>
      <c r="E617" s="203"/>
      <c r="F617" s="203"/>
      <c r="G617" s="56"/>
      <c r="H617" s="203"/>
      <c r="I617" s="203"/>
      <c r="J617" s="56"/>
      <c r="K617" s="56"/>
      <c r="L617" s="56"/>
      <c r="M617" s="56"/>
      <c r="N617" s="200"/>
    </row>
    <row r="618" spans="1:14" x14ac:dyDescent="0.35">
      <c r="A618" s="58"/>
      <c r="B618" s="56"/>
      <c r="C618" s="203"/>
      <c r="D618" s="203"/>
      <c r="E618" s="203"/>
      <c r="F618" s="203"/>
      <c r="G618" s="56"/>
      <c r="H618" s="203"/>
      <c r="I618" s="203"/>
      <c r="J618" s="56"/>
      <c r="K618" s="56"/>
      <c r="L618" s="56"/>
      <c r="M618" s="56"/>
      <c r="N618" s="200"/>
    </row>
    <row r="619" spans="1:14" x14ac:dyDescent="0.35">
      <c r="A619" s="58"/>
      <c r="B619" s="56"/>
      <c r="C619" s="203"/>
      <c r="D619" s="203"/>
      <c r="E619" s="203"/>
      <c r="F619" s="203"/>
      <c r="G619" s="56"/>
      <c r="H619" s="203"/>
      <c r="I619" s="203"/>
      <c r="J619" s="56"/>
      <c r="K619" s="56"/>
      <c r="L619" s="56"/>
      <c r="M619" s="56"/>
      <c r="N619" s="200"/>
    </row>
    <row r="620" spans="1:14" x14ac:dyDescent="0.35">
      <c r="A620" s="58"/>
      <c r="B620" s="56"/>
      <c r="C620" s="203"/>
      <c r="D620" s="203"/>
      <c r="E620" s="203"/>
      <c r="F620" s="203"/>
      <c r="G620" s="56"/>
      <c r="H620" s="203"/>
      <c r="I620" s="203"/>
      <c r="J620" s="56"/>
      <c r="K620" s="56"/>
      <c r="L620" s="56"/>
      <c r="M620" s="56"/>
      <c r="N620" s="200"/>
    </row>
    <row r="621" spans="1:14" x14ac:dyDescent="0.35">
      <c r="A621" s="58"/>
      <c r="B621" s="56"/>
      <c r="C621" s="203"/>
      <c r="D621" s="203"/>
      <c r="E621" s="203"/>
      <c r="F621" s="203"/>
      <c r="G621" s="56"/>
      <c r="H621" s="203"/>
      <c r="I621" s="203"/>
      <c r="J621" s="56"/>
      <c r="K621" s="56"/>
      <c r="L621" s="56"/>
      <c r="M621" s="56"/>
      <c r="N621" s="200"/>
    </row>
    <row r="622" spans="1:14" x14ac:dyDescent="0.35">
      <c r="A622" s="58"/>
      <c r="B622" s="56"/>
      <c r="C622" s="203"/>
      <c r="D622" s="203"/>
      <c r="E622" s="203"/>
      <c r="F622" s="203"/>
      <c r="G622" s="56"/>
      <c r="H622" s="203"/>
      <c r="I622" s="203"/>
      <c r="J622" s="56"/>
      <c r="K622" s="56"/>
      <c r="L622" s="56"/>
      <c r="M622" s="56"/>
      <c r="N622" s="200"/>
    </row>
    <row r="623" spans="1:14" x14ac:dyDescent="0.35">
      <c r="A623" s="58"/>
      <c r="B623" s="56"/>
      <c r="C623" s="203"/>
      <c r="D623" s="203"/>
      <c r="E623" s="203"/>
      <c r="F623" s="203"/>
      <c r="G623" s="56"/>
      <c r="H623" s="203"/>
      <c r="I623" s="203"/>
      <c r="J623" s="56"/>
      <c r="K623" s="56"/>
      <c r="L623" s="56"/>
      <c r="M623" s="56"/>
      <c r="N623" s="200"/>
    </row>
    <row r="624" spans="1:14" x14ac:dyDescent="0.35">
      <c r="A624" s="58"/>
      <c r="B624" s="56"/>
      <c r="C624" s="203"/>
      <c r="D624" s="203"/>
      <c r="E624" s="203"/>
      <c r="F624" s="203"/>
      <c r="G624" s="56"/>
      <c r="H624" s="203"/>
      <c r="I624" s="203"/>
      <c r="J624" s="56"/>
      <c r="K624" s="56"/>
      <c r="L624" s="56"/>
      <c r="M624" s="56"/>
      <c r="N624" s="200"/>
    </row>
    <row r="625" spans="1:14" x14ac:dyDescent="0.35">
      <c r="A625" s="58"/>
      <c r="B625" s="56"/>
      <c r="C625" s="203"/>
      <c r="D625" s="203"/>
      <c r="E625" s="203"/>
      <c r="F625" s="203"/>
      <c r="G625" s="56"/>
      <c r="H625" s="203"/>
      <c r="I625" s="203"/>
      <c r="J625" s="56"/>
      <c r="K625" s="56"/>
      <c r="L625" s="56"/>
      <c r="M625" s="56"/>
      <c r="N625" s="200"/>
    </row>
    <row r="626" spans="1:14" x14ac:dyDescent="0.35">
      <c r="A626" s="58"/>
      <c r="B626" s="56"/>
      <c r="C626" s="203"/>
      <c r="D626" s="203"/>
      <c r="E626" s="203"/>
      <c r="F626" s="203"/>
      <c r="G626" s="56"/>
      <c r="H626" s="203"/>
      <c r="I626" s="203"/>
      <c r="J626" s="56"/>
      <c r="K626" s="56"/>
      <c r="L626" s="56"/>
      <c r="M626" s="56"/>
      <c r="N626" s="200"/>
    </row>
    <row r="627" spans="1:14" x14ac:dyDescent="0.35">
      <c r="A627" s="58"/>
      <c r="B627" s="56"/>
      <c r="C627" s="203"/>
      <c r="D627" s="203"/>
      <c r="E627" s="203"/>
      <c r="F627" s="203"/>
      <c r="G627" s="56"/>
      <c r="H627" s="203"/>
      <c r="I627" s="203"/>
      <c r="J627" s="56"/>
      <c r="K627" s="56"/>
      <c r="L627" s="56"/>
      <c r="M627" s="56"/>
      <c r="N627" s="200"/>
    </row>
    <row r="628" spans="1:14" x14ac:dyDescent="0.35">
      <c r="A628" s="58"/>
      <c r="B628" s="56"/>
      <c r="C628" s="203"/>
      <c r="D628" s="203"/>
      <c r="E628" s="203"/>
      <c r="F628" s="203"/>
      <c r="G628" s="56"/>
      <c r="H628" s="203"/>
      <c r="I628" s="203"/>
      <c r="J628" s="56"/>
      <c r="K628" s="56"/>
      <c r="L628" s="56"/>
      <c r="M628" s="56"/>
      <c r="N628" s="200"/>
    </row>
    <row r="629" spans="1:14" x14ac:dyDescent="0.35">
      <c r="A629" s="58"/>
      <c r="B629" s="56"/>
      <c r="C629" s="203"/>
      <c r="D629" s="203"/>
      <c r="E629" s="203"/>
      <c r="F629" s="203"/>
      <c r="G629" s="56"/>
      <c r="H629" s="203"/>
      <c r="I629" s="203"/>
      <c r="J629" s="56"/>
      <c r="K629" s="56"/>
      <c r="L629" s="56"/>
      <c r="M629" s="56"/>
      <c r="N629" s="200"/>
    </row>
    <row r="630" spans="1:14" x14ac:dyDescent="0.35">
      <c r="A630" s="58"/>
      <c r="B630" s="56"/>
      <c r="C630" s="203"/>
      <c r="D630" s="203"/>
      <c r="E630" s="203"/>
      <c r="F630" s="203"/>
      <c r="G630" s="56"/>
      <c r="H630" s="203"/>
      <c r="I630" s="203"/>
      <c r="J630" s="56"/>
      <c r="K630" s="56"/>
      <c r="L630" s="56"/>
      <c r="M630" s="56"/>
      <c r="N630" s="200"/>
    </row>
    <row r="631" spans="1:14" x14ac:dyDescent="0.35">
      <c r="A631" s="58"/>
      <c r="B631" s="56"/>
      <c r="C631" s="203"/>
      <c r="D631" s="203"/>
      <c r="E631" s="203"/>
      <c r="F631" s="203"/>
      <c r="G631" s="56"/>
      <c r="H631" s="203"/>
      <c r="I631" s="203"/>
      <c r="J631" s="56"/>
      <c r="K631" s="56"/>
      <c r="L631" s="56"/>
      <c r="M631" s="56"/>
      <c r="N631" s="200"/>
    </row>
    <row r="632" spans="1:14" x14ac:dyDescent="0.35">
      <c r="A632" s="58"/>
      <c r="B632" s="56"/>
      <c r="C632" s="203"/>
      <c r="D632" s="203"/>
      <c r="E632" s="203"/>
      <c r="F632" s="203"/>
      <c r="G632" s="56"/>
      <c r="H632" s="203"/>
      <c r="I632" s="203"/>
      <c r="J632" s="56"/>
      <c r="K632" s="56"/>
      <c r="L632" s="56"/>
      <c r="M632" s="56"/>
      <c r="N632" s="200"/>
    </row>
    <row r="633" spans="1:14" x14ac:dyDescent="0.35">
      <c r="A633" s="58"/>
      <c r="B633" s="56"/>
      <c r="C633" s="203"/>
      <c r="D633" s="203"/>
      <c r="E633" s="203"/>
      <c r="F633" s="203"/>
      <c r="G633" s="56"/>
      <c r="H633" s="203"/>
      <c r="I633" s="203"/>
      <c r="J633" s="56"/>
      <c r="K633" s="56"/>
      <c r="L633" s="56"/>
      <c r="M633" s="56"/>
      <c r="N633" s="200"/>
    </row>
    <row r="634" spans="1:14" x14ac:dyDescent="0.35">
      <c r="A634" s="58"/>
      <c r="B634" s="56"/>
      <c r="C634" s="203"/>
      <c r="D634" s="203"/>
      <c r="E634" s="203"/>
      <c r="F634" s="203"/>
      <c r="G634" s="56"/>
      <c r="H634" s="203"/>
      <c r="I634" s="203"/>
      <c r="J634" s="56"/>
      <c r="K634" s="56"/>
      <c r="L634" s="56"/>
      <c r="M634" s="56"/>
      <c r="N634" s="200"/>
    </row>
    <row r="635" spans="1:14" x14ac:dyDescent="0.35">
      <c r="A635" s="58"/>
      <c r="B635" s="56"/>
      <c r="C635" s="203"/>
      <c r="D635" s="203"/>
      <c r="E635" s="203"/>
      <c r="F635" s="203"/>
      <c r="G635" s="56"/>
      <c r="H635" s="203"/>
      <c r="I635" s="203"/>
      <c r="J635" s="56"/>
      <c r="K635" s="56"/>
      <c r="L635" s="56"/>
      <c r="M635" s="56"/>
      <c r="N635" s="200"/>
    </row>
    <row r="636" spans="1:14" x14ac:dyDescent="0.35">
      <c r="A636" s="58"/>
      <c r="B636" s="56"/>
      <c r="C636" s="203"/>
      <c r="D636" s="203"/>
      <c r="E636" s="203"/>
      <c r="F636" s="203"/>
      <c r="G636" s="56"/>
      <c r="H636" s="203"/>
      <c r="I636" s="203"/>
      <c r="J636" s="56"/>
      <c r="K636" s="56"/>
      <c r="L636" s="56"/>
      <c r="M636" s="56"/>
      <c r="N636" s="200"/>
    </row>
    <row r="637" spans="1:14" x14ac:dyDescent="0.35">
      <c r="A637" s="58"/>
      <c r="B637" s="56"/>
      <c r="C637" s="203"/>
      <c r="D637" s="203"/>
      <c r="E637" s="203"/>
      <c r="F637" s="203"/>
      <c r="G637" s="56"/>
      <c r="H637" s="203"/>
      <c r="I637" s="203"/>
      <c r="J637" s="56"/>
      <c r="K637" s="56"/>
      <c r="L637" s="56"/>
      <c r="M637" s="56"/>
      <c r="N637" s="200"/>
    </row>
    <row r="638" spans="1:14" x14ac:dyDescent="0.35">
      <c r="A638" s="58"/>
      <c r="B638" s="56"/>
      <c r="C638" s="203"/>
      <c r="D638" s="203"/>
      <c r="E638" s="203"/>
      <c r="F638" s="203"/>
      <c r="G638" s="56"/>
      <c r="H638" s="203"/>
      <c r="I638" s="203"/>
      <c r="J638" s="56"/>
      <c r="K638" s="56"/>
      <c r="L638" s="56"/>
      <c r="M638" s="56"/>
      <c r="N638" s="200"/>
    </row>
    <row r="639" spans="1:14" x14ac:dyDescent="0.35">
      <c r="A639" s="58"/>
      <c r="B639" s="56"/>
      <c r="C639" s="203"/>
      <c r="D639" s="203"/>
      <c r="E639" s="203"/>
      <c r="F639" s="203"/>
      <c r="G639" s="56"/>
      <c r="H639" s="203"/>
      <c r="I639" s="203"/>
      <c r="J639" s="56"/>
      <c r="K639" s="56"/>
      <c r="L639" s="56"/>
      <c r="M639" s="56"/>
      <c r="N639" s="200"/>
    </row>
    <row r="640" spans="1:14" x14ac:dyDescent="0.35">
      <c r="A640" s="58"/>
      <c r="B640" s="56"/>
      <c r="C640" s="203"/>
      <c r="D640" s="203"/>
      <c r="E640" s="203"/>
      <c r="F640" s="203"/>
      <c r="G640" s="56"/>
      <c r="H640" s="203"/>
      <c r="I640" s="203"/>
      <c r="J640" s="56"/>
      <c r="K640" s="56"/>
      <c r="L640" s="56"/>
      <c r="M640" s="56"/>
      <c r="N640" s="200"/>
    </row>
    <row r="641" spans="1:14" x14ac:dyDescent="0.35">
      <c r="A641" s="58"/>
      <c r="B641" s="56"/>
      <c r="C641" s="203"/>
      <c r="D641" s="203"/>
      <c r="E641" s="203"/>
      <c r="F641" s="203"/>
      <c r="G641" s="56"/>
      <c r="H641" s="203"/>
      <c r="I641" s="203"/>
      <c r="J641" s="56"/>
      <c r="K641" s="56"/>
      <c r="L641" s="56"/>
      <c r="M641" s="56"/>
      <c r="N641" s="200"/>
    </row>
    <row r="642" spans="1:14" x14ac:dyDescent="0.35">
      <c r="A642" s="58"/>
      <c r="B642" s="56"/>
      <c r="C642" s="203"/>
      <c r="D642" s="203"/>
      <c r="E642" s="203"/>
      <c r="F642" s="203"/>
      <c r="G642" s="56"/>
      <c r="H642" s="203"/>
      <c r="I642" s="203"/>
      <c r="J642" s="56"/>
      <c r="K642" s="56"/>
      <c r="L642" s="56"/>
      <c r="M642" s="56"/>
      <c r="N642" s="200"/>
    </row>
    <row r="643" spans="1:14" x14ac:dyDescent="0.35">
      <c r="A643" s="58"/>
      <c r="B643" s="56"/>
      <c r="C643" s="203"/>
      <c r="D643" s="203"/>
      <c r="E643" s="203"/>
      <c r="F643" s="203"/>
      <c r="G643" s="56"/>
      <c r="H643" s="203"/>
      <c r="I643" s="203"/>
      <c r="J643" s="56"/>
      <c r="K643" s="56"/>
      <c r="L643" s="56"/>
      <c r="M643" s="56"/>
      <c r="N643" s="200"/>
    </row>
    <row r="644" spans="1:14" x14ac:dyDescent="0.35">
      <c r="A644" s="58"/>
      <c r="B644" s="56"/>
      <c r="C644" s="203"/>
      <c r="D644" s="203"/>
      <c r="E644" s="203"/>
      <c r="F644" s="203"/>
      <c r="G644" s="56"/>
      <c r="H644" s="203"/>
      <c r="I644" s="203"/>
      <c r="J644" s="56"/>
      <c r="K644" s="56"/>
      <c r="L644" s="56"/>
      <c r="M644" s="56"/>
      <c r="N644" s="200"/>
    </row>
    <row r="645" spans="1:14" x14ac:dyDescent="0.35">
      <c r="A645" s="58"/>
      <c r="B645" s="56"/>
      <c r="C645" s="203"/>
      <c r="D645" s="203"/>
      <c r="E645" s="203"/>
      <c r="F645" s="203"/>
      <c r="G645" s="56"/>
      <c r="H645" s="203"/>
      <c r="I645" s="203"/>
      <c r="J645" s="56"/>
      <c r="K645" s="56"/>
      <c r="L645" s="56"/>
      <c r="M645" s="56"/>
      <c r="N645" s="200"/>
    </row>
    <row r="646" spans="1:14" x14ac:dyDescent="0.35">
      <c r="A646" s="58"/>
      <c r="B646" s="56"/>
      <c r="C646" s="203"/>
      <c r="D646" s="203"/>
      <c r="E646" s="203"/>
      <c r="F646" s="203"/>
      <c r="G646" s="56"/>
      <c r="H646" s="203"/>
      <c r="I646" s="203"/>
      <c r="J646" s="56"/>
      <c r="K646" s="56"/>
      <c r="L646" s="56"/>
      <c r="M646" s="56"/>
      <c r="N646" s="200"/>
    </row>
    <row r="647" spans="1:14" x14ac:dyDescent="0.35">
      <c r="A647" s="58"/>
      <c r="B647" s="56"/>
      <c r="C647" s="203"/>
      <c r="D647" s="203"/>
      <c r="E647" s="203"/>
      <c r="F647" s="203"/>
      <c r="G647" s="56"/>
      <c r="H647" s="203"/>
      <c r="I647" s="203"/>
      <c r="J647" s="56"/>
      <c r="K647" s="56"/>
      <c r="L647" s="56"/>
      <c r="M647" s="56"/>
      <c r="N647" s="200"/>
    </row>
    <row r="648" spans="1:14" x14ac:dyDescent="0.35">
      <c r="A648" s="58"/>
      <c r="B648" s="56"/>
      <c r="C648" s="203"/>
      <c r="D648" s="203"/>
      <c r="E648" s="203"/>
      <c r="F648" s="203"/>
      <c r="G648" s="56"/>
      <c r="H648" s="203"/>
      <c r="I648" s="203"/>
      <c r="J648" s="56"/>
      <c r="K648" s="56"/>
      <c r="L648" s="56"/>
      <c r="M648" s="56"/>
      <c r="N648" s="200"/>
    </row>
    <row r="649" spans="1:14" x14ac:dyDescent="0.35">
      <c r="A649" s="58"/>
      <c r="B649" s="56"/>
      <c r="C649" s="203"/>
      <c r="D649" s="203"/>
      <c r="E649" s="203"/>
      <c r="F649" s="203"/>
      <c r="G649" s="56"/>
      <c r="H649" s="203"/>
      <c r="I649" s="203"/>
      <c r="J649" s="56"/>
      <c r="K649" s="56"/>
      <c r="L649" s="56"/>
      <c r="M649" s="56"/>
      <c r="N649" s="200"/>
    </row>
    <row r="650" spans="1:14" x14ac:dyDescent="0.35">
      <c r="A650" s="58"/>
      <c r="B650" s="56"/>
      <c r="C650" s="203"/>
      <c r="D650" s="203"/>
      <c r="E650" s="203"/>
      <c r="F650" s="203"/>
      <c r="G650" s="56"/>
      <c r="H650" s="203"/>
      <c r="I650" s="203"/>
      <c r="J650" s="56"/>
      <c r="K650" s="56"/>
      <c r="L650" s="56"/>
      <c r="M650" s="56"/>
      <c r="N650" s="200"/>
    </row>
    <row r="651" spans="1:14" x14ac:dyDescent="0.35">
      <c r="A651" s="58"/>
      <c r="B651" s="56"/>
      <c r="C651" s="203"/>
      <c r="D651" s="203"/>
      <c r="E651" s="203"/>
      <c r="F651" s="203"/>
      <c r="G651" s="56"/>
      <c r="H651" s="203"/>
      <c r="I651" s="203"/>
      <c r="J651" s="56"/>
      <c r="K651" s="56"/>
      <c r="L651" s="56"/>
      <c r="M651" s="56"/>
      <c r="N651" s="200"/>
    </row>
    <row r="652" spans="1:14" x14ac:dyDescent="0.35">
      <c r="A652" s="58"/>
      <c r="B652" s="56"/>
      <c r="C652" s="203"/>
      <c r="D652" s="203"/>
      <c r="E652" s="203"/>
      <c r="F652" s="203"/>
      <c r="G652" s="56"/>
      <c r="H652" s="203"/>
      <c r="I652" s="203"/>
      <c r="J652" s="56"/>
      <c r="K652" s="56"/>
      <c r="L652" s="56"/>
      <c r="M652" s="56"/>
      <c r="N652" s="200"/>
    </row>
    <row r="653" spans="1:14" x14ac:dyDescent="0.35">
      <c r="A653" s="58"/>
      <c r="B653" s="56"/>
      <c r="C653" s="203"/>
      <c r="D653" s="203"/>
      <c r="E653" s="203"/>
      <c r="F653" s="203"/>
      <c r="G653" s="56"/>
      <c r="H653" s="203"/>
      <c r="I653" s="203"/>
      <c r="J653" s="56"/>
      <c r="K653" s="56"/>
      <c r="L653" s="56"/>
      <c r="M653" s="56"/>
      <c r="N653" s="200"/>
    </row>
    <row r="654" spans="1:14" x14ac:dyDescent="0.35">
      <c r="A654" s="58"/>
      <c r="B654" s="56"/>
      <c r="C654" s="203"/>
      <c r="D654" s="203"/>
      <c r="E654" s="203"/>
      <c r="F654" s="203"/>
      <c r="G654" s="56"/>
      <c r="H654" s="203"/>
      <c r="I654" s="203"/>
      <c r="J654" s="56"/>
      <c r="K654" s="56"/>
      <c r="L654" s="56"/>
      <c r="M654" s="56"/>
      <c r="N654" s="200"/>
    </row>
    <row r="655" spans="1:14" x14ac:dyDescent="0.35">
      <c r="A655" s="58"/>
      <c r="B655" s="56"/>
      <c r="C655" s="203"/>
      <c r="D655" s="203"/>
      <c r="E655" s="203"/>
      <c r="F655" s="203"/>
      <c r="G655" s="56"/>
      <c r="H655" s="203"/>
      <c r="I655" s="203"/>
      <c r="J655" s="56"/>
      <c r="K655" s="56"/>
      <c r="L655" s="56"/>
      <c r="M655" s="56"/>
      <c r="N655" s="200"/>
    </row>
    <row r="656" spans="1:14" x14ac:dyDescent="0.35">
      <c r="A656" s="58"/>
      <c r="B656" s="56"/>
      <c r="C656" s="203"/>
      <c r="D656" s="203"/>
      <c r="E656" s="203"/>
      <c r="F656" s="203"/>
      <c r="G656" s="56"/>
      <c r="H656" s="203"/>
      <c r="I656" s="203"/>
      <c r="J656" s="56"/>
      <c r="K656" s="56"/>
      <c r="L656" s="56"/>
      <c r="M656" s="56"/>
      <c r="N656" s="200"/>
    </row>
    <row r="657" spans="1:14" x14ac:dyDescent="0.35">
      <c r="A657" s="58"/>
      <c r="B657" s="56"/>
      <c r="C657" s="203"/>
      <c r="D657" s="203"/>
      <c r="E657" s="203"/>
      <c r="F657" s="203"/>
      <c r="G657" s="56"/>
      <c r="H657" s="203"/>
      <c r="I657" s="203"/>
      <c r="J657" s="56"/>
      <c r="K657" s="56"/>
      <c r="L657" s="56"/>
      <c r="M657" s="56"/>
      <c r="N657" s="200"/>
    </row>
    <row r="658" spans="1:14" x14ac:dyDescent="0.35">
      <c r="A658" s="58"/>
      <c r="B658" s="56"/>
      <c r="C658" s="203"/>
      <c r="D658" s="203"/>
      <c r="E658" s="203"/>
      <c r="F658" s="203"/>
      <c r="G658" s="56"/>
      <c r="H658" s="203"/>
      <c r="I658" s="203"/>
      <c r="J658" s="56"/>
      <c r="K658" s="56"/>
      <c r="L658" s="56"/>
      <c r="M658" s="56"/>
      <c r="N658" s="200"/>
    </row>
    <row r="659" spans="1:14" x14ac:dyDescent="0.35">
      <c r="A659" s="58"/>
      <c r="B659" s="56"/>
      <c r="C659" s="203"/>
      <c r="D659" s="203"/>
      <c r="E659" s="203"/>
      <c r="F659" s="203"/>
      <c r="G659" s="56"/>
      <c r="H659" s="203"/>
      <c r="I659" s="203"/>
      <c r="J659" s="56"/>
      <c r="K659" s="56"/>
      <c r="L659" s="56"/>
      <c r="M659" s="56"/>
      <c r="N659" s="200"/>
    </row>
    <row r="660" spans="1:14" x14ac:dyDescent="0.35">
      <c r="A660" s="58"/>
      <c r="B660" s="56"/>
      <c r="C660" s="203"/>
      <c r="D660" s="203"/>
      <c r="E660" s="203"/>
      <c r="F660" s="203"/>
      <c r="G660" s="56"/>
      <c r="H660" s="203"/>
      <c r="I660" s="203"/>
      <c r="J660" s="56"/>
      <c r="K660" s="56"/>
      <c r="L660" s="56"/>
      <c r="M660" s="56"/>
      <c r="N660" s="200"/>
    </row>
    <row r="661" spans="1:14" x14ac:dyDescent="0.35">
      <c r="A661" s="58"/>
      <c r="B661" s="56"/>
      <c r="C661" s="203"/>
      <c r="D661" s="203"/>
      <c r="E661" s="203"/>
      <c r="F661" s="203"/>
      <c r="G661" s="56"/>
      <c r="H661" s="203"/>
      <c r="I661" s="203"/>
      <c r="J661" s="56"/>
      <c r="K661" s="56"/>
      <c r="L661" s="56"/>
      <c r="M661" s="56"/>
      <c r="N661" s="200"/>
    </row>
    <row r="662" spans="1:14" x14ac:dyDescent="0.35">
      <c r="A662" s="58"/>
      <c r="B662" s="56"/>
      <c r="C662" s="203"/>
      <c r="D662" s="203"/>
      <c r="E662" s="203"/>
      <c r="F662" s="203"/>
      <c r="G662" s="56"/>
      <c r="H662" s="203"/>
      <c r="I662" s="203"/>
      <c r="J662" s="56"/>
      <c r="K662" s="56"/>
      <c r="L662" s="56"/>
      <c r="M662" s="56"/>
      <c r="N662" s="200"/>
    </row>
    <row r="663" spans="1:14" x14ac:dyDescent="0.35">
      <c r="A663" s="58"/>
      <c r="B663" s="56"/>
      <c r="C663" s="203"/>
      <c r="D663" s="203"/>
      <c r="E663" s="203"/>
      <c r="F663" s="203"/>
      <c r="G663" s="56"/>
      <c r="H663" s="203"/>
      <c r="I663" s="203"/>
      <c r="J663" s="56"/>
      <c r="K663" s="56"/>
      <c r="L663" s="56"/>
      <c r="M663" s="56"/>
      <c r="N663" s="200"/>
    </row>
    <row r="664" spans="1:14" x14ac:dyDescent="0.35">
      <c r="A664" s="58"/>
      <c r="B664" s="56"/>
      <c r="C664" s="203"/>
      <c r="D664" s="203"/>
      <c r="E664" s="203"/>
      <c r="F664" s="203"/>
      <c r="G664" s="56"/>
      <c r="H664" s="203"/>
      <c r="I664" s="203"/>
      <c r="J664" s="56"/>
      <c r="K664" s="56"/>
      <c r="L664" s="56"/>
      <c r="M664" s="56"/>
      <c r="N664" s="200"/>
    </row>
    <row r="665" spans="1:14" x14ac:dyDescent="0.35">
      <c r="A665" s="58"/>
      <c r="B665" s="56"/>
      <c r="C665" s="203"/>
      <c r="D665" s="203"/>
      <c r="E665" s="203"/>
      <c r="F665" s="203"/>
      <c r="G665" s="56"/>
      <c r="H665" s="203"/>
      <c r="I665" s="203"/>
      <c r="J665" s="56"/>
      <c r="K665" s="56"/>
      <c r="L665" s="56"/>
      <c r="M665" s="56"/>
      <c r="N665" s="200"/>
    </row>
    <row r="666" spans="1:14" x14ac:dyDescent="0.35">
      <c r="A666" s="58"/>
      <c r="B666" s="56"/>
      <c r="C666" s="203"/>
      <c r="D666" s="203"/>
      <c r="E666" s="203"/>
      <c r="F666" s="203"/>
      <c r="G666" s="56"/>
      <c r="H666" s="203"/>
      <c r="I666" s="203"/>
      <c r="J666" s="56"/>
      <c r="K666" s="56"/>
      <c r="L666" s="56"/>
      <c r="M666" s="56"/>
      <c r="N666" s="200"/>
    </row>
    <row r="667" spans="1:14" x14ac:dyDescent="0.35">
      <c r="A667" s="58"/>
      <c r="B667" s="56"/>
      <c r="C667" s="203"/>
      <c r="D667" s="203"/>
      <c r="E667" s="203"/>
      <c r="F667" s="203"/>
      <c r="G667" s="56"/>
      <c r="H667" s="203"/>
      <c r="I667" s="203"/>
      <c r="J667" s="56"/>
      <c r="K667" s="56"/>
      <c r="L667" s="56"/>
      <c r="M667" s="56"/>
      <c r="N667" s="200"/>
    </row>
    <row r="668" spans="1:14" x14ac:dyDescent="0.35">
      <c r="A668" s="58"/>
      <c r="B668" s="56"/>
      <c r="C668" s="203"/>
      <c r="D668" s="203"/>
      <c r="E668" s="203"/>
      <c r="F668" s="203"/>
      <c r="G668" s="56"/>
      <c r="H668" s="203"/>
      <c r="I668" s="203"/>
      <c r="J668" s="56"/>
      <c r="K668" s="56"/>
      <c r="L668" s="56"/>
      <c r="M668" s="56"/>
      <c r="N668" s="200"/>
    </row>
    <row r="669" spans="1:14" x14ac:dyDescent="0.35">
      <c r="A669" s="58"/>
      <c r="B669" s="56"/>
      <c r="C669" s="203"/>
      <c r="D669" s="203"/>
      <c r="E669" s="203"/>
      <c r="F669" s="203"/>
      <c r="G669" s="56"/>
      <c r="H669" s="203"/>
      <c r="I669" s="203"/>
      <c r="J669" s="56"/>
      <c r="K669" s="56"/>
      <c r="L669" s="56"/>
      <c r="M669" s="56"/>
      <c r="N669" s="200"/>
    </row>
    <row r="670" spans="1:14" x14ac:dyDescent="0.35">
      <c r="A670" s="58"/>
      <c r="B670" s="56"/>
      <c r="C670" s="203"/>
      <c r="D670" s="203"/>
      <c r="E670" s="203"/>
      <c r="F670" s="203"/>
      <c r="G670" s="56"/>
      <c r="H670" s="203"/>
      <c r="I670" s="203"/>
      <c r="J670" s="56"/>
      <c r="K670" s="56"/>
      <c r="L670" s="56"/>
      <c r="M670" s="56"/>
      <c r="N670" s="200"/>
    </row>
    <row r="671" spans="1:14" x14ac:dyDescent="0.35">
      <c r="A671" s="58"/>
      <c r="B671" s="56"/>
      <c r="C671" s="203"/>
      <c r="D671" s="203"/>
      <c r="E671" s="203"/>
      <c r="F671" s="203"/>
      <c r="G671" s="56"/>
      <c r="H671" s="203"/>
      <c r="I671" s="203"/>
      <c r="J671" s="56"/>
      <c r="K671" s="56"/>
      <c r="L671" s="56"/>
      <c r="M671" s="56"/>
      <c r="N671" s="200"/>
    </row>
    <row r="672" spans="1:14" x14ac:dyDescent="0.35">
      <c r="A672" s="58"/>
      <c r="B672" s="56"/>
      <c r="C672" s="203"/>
      <c r="D672" s="203"/>
      <c r="E672" s="203"/>
      <c r="F672" s="203"/>
      <c r="G672" s="56"/>
      <c r="H672" s="203"/>
      <c r="I672" s="203"/>
      <c r="J672" s="56"/>
      <c r="K672" s="56"/>
      <c r="L672" s="56"/>
      <c r="M672" s="56"/>
      <c r="N672" s="200"/>
    </row>
    <row r="673" spans="1:14" x14ac:dyDescent="0.35">
      <c r="A673" s="58"/>
      <c r="B673" s="56"/>
      <c r="C673" s="203"/>
      <c r="D673" s="203"/>
      <c r="E673" s="203"/>
      <c r="F673" s="203"/>
      <c r="G673" s="56"/>
      <c r="H673" s="203"/>
      <c r="I673" s="203"/>
      <c r="J673" s="56"/>
      <c r="K673" s="56"/>
      <c r="L673" s="56"/>
      <c r="M673" s="56"/>
      <c r="N673" s="200"/>
    </row>
    <row r="674" spans="1:14" x14ac:dyDescent="0.35">
      <c r="A674" s="58"/>
      <c r="B674" s="56"/>
      <c r="C674" s="203"/>
      <c r="D674" s="203"/>
      <c r="E674" s="203"/>
      <c r="F674" s="203"/>
      <c r="G674" s="56"/>
      <c r="H674" s="203"/>
      <c r="I674" s="203"/>
      <c r="J674" s="56"/>
      <c r="K674" s="56"/>
      <c r="L674" s="56"/>
      <c r="M674" s="56"/>
      <c r="N674" s="200"/>
    </row>
    <row r="675" spans="1:14" x14ac:dyDescent="0.35">
      <c r="A675" s="58"/>
      <c r="B675" s="56"/>
      <c r="C675" s="203"/>
      <c r="D675" s="203"/>
      <c r="E675" s="203"/>
      <c r="F675" s="203"/>
      <c r="G675" s="56"/>
      <c r="H675" s="203"/>
      <c r="I675" s="203"/>
      <c r="J675" s="56"/>
      <c r="K675" s="56"/>
      <c r="L675" s="56"/>
      <c r="M675" s="56"/>
      <c r="N675" s="200"/>
    </row>
    <row r="676" spans="1:14" x14ac:dyDescent="0.35">
      <c r="A676" s="58"/>
      <c r="B676" s="56"/>
      <c r="C676" s="203"/>
      <c r="D676" s="203"/>
      <c r="E676" s="203"/>
      <c r="F676" s="203"/>
      <c r="G676" s="56"/>
      <c r="H676" s="203"/>
      <c r="I676" s="203"/>
      <c r="J676" s="56"/>
      <c r="K676" s="56"/>
      <c r="L676" s="56"/>
      <c r="M676" s="56"/>
      <c r="N676" s="200"/>
    </row>
    <row r="677" spans="1:14" x14ac:dyDescent="0.35">
      <c r="A677" s="58"/>
      <c r="B677" s="56"/>
      <c r="C677" s="203"/>
      <c r="D677" s="203"/>
      <c r="E677" s="203"/>
      <c r="F677" s="203"/>
      <c r="G677" s="56"/>
      <c r="H677" s="203"/>
      <c r="I677" s="203"/>
      <c r="J677" s="56"/>
      <c r="K677" s="56"/>
      <c r="L677" s="56"/>
      <c r="M677" s="56"/>
      <c r="N677" s="200"/>
    </row>
    <row r="678" spans="1:14" x14ac:dyDescent="0.35">
      <c r="A678" s="58"/>
      <c r="B678" s="56"/>
      <c r="C678" s="203"/>
      <c r="D678" s="203"/>
      <c r="E678" s="203"/>
      <c r="F678" s="203"/>
      <c r="G678" s="56"/>
      <c r="H678" s="203"/>
      <c r="I678" s="203"/>
      <c r="J678" s="56"/>
      <c r="K678" s="56"/>
      <c r="L678" s="56"/>
      <c r="M678" s="56"/>
      <c r="N678" s="200"/>
    </row>
    <row r="679" spans="1:14" x14ac:dyDescent="0.35">
      <c r="A679" s="58"/>
      <c r="B679" s="56"/>
      <c r="C679" s="203"/>
      <c r="D679" s="203"/>
      <c r="E679" s="203"/>
      <c r="F679" s="203"/>
      <c r="G679" s="56"/>
      <c r="H679" s="203"/>
      <c r="I679" s="203"/>
      <c r="J679" s="56"/>
      <c r="K679" s="56"/>
      <c r="L679" s="56"/>
      <c r="M679" s="56"/>
      <c r="N679" s="200"/>
    </row>
    <row r="680" spans="1:14" x14ac:dyDescent="0.35">
      <c r="A680" s="58"/>
      <c r="B680" s="56"/>
      <c r="C680" s="203"/>
      <c r="D680" s="203"/>
      <c r="E680" s="203"/>
      <c r="F680" s="203"/>
      <c r="G680" s="56"/>
      <c r="H680" s="203"/>
      <c r="I680" s="203"/>
      <c r="J680" s="56"/>
      <c r="K680" s="56"/>
      <c r="L680" s="56"/>
      <c r="M680" s="56"/>
      <c r="N680" s="200"/>
    </row>
    <row r="681" spans="1:14" x14ac:dyDescent="0.35">
      <c r="A681" s="58"/>
      <c r="B681" s="56"/>
      <c r="C681" s="203"/>
      <c r="D681" s="203"/>
      <c r="E681" s="203"/>
      <c r="F681" s="203"/>
      <c r="G681" s="56"/>
      <c r="H681" s="203"/>
      <c r="I681" s="203"/>
      <c r="J681" s="56"/>
      <c r="K681" s="56"/>
      <c r="L681" s="56"/>
      <c r="M681" s="56"/>
      <c r="N681" s="200"/>
    </row>
    <row r="682" spans="1:14" x14ac:dyDescent="0.35">
      <c r="A682" s="58"/>
      <c r="B682" s="56"/>
      <c r="C682" s="203"/>
      <c r="D682" s="203"/>
      <c r="E682" s="203"/>
      <c r="F682" s="203"/>
      <c r="G682" s="56"/>
      <c r="H682" s="203"/>
      <c r="I682" s="203"/>
      <c r="J682" s="56"/>
      <c r="K682" s="56"/>
      <c r="L682" s="56"/>
      <c r="M682" s="56"/>
      <c r="N682" s="200"/>
    </row>
    <row r="683" spans="1:14" x14ac:dyDescent="0.35">
      <c r="A683" s="58"/>
      <c r="B683" s="56"/>
      <c r="C683" s="203"/>
      <c r="D683" s="203"/>
      <c r="E683" s="203"/>
      <c r="F683" s="203"/>
      <c r="G683" s="56"/>
      <c r="H683" s="203"/>
      <c r="I683" s="203"/>
      <c r="J683" s="56"/>
      <c r="K683" s="56"/>
      <c r="L683" s="56"/>
      <c r="M683" s="56"/>
      <c r="N683" s="200"/>
    </row>
    <row r="684" spans="1:14" x14ac:dyDescent="0.35">
      <c r="A684" s="58"/>
      <c r="B684" s="56"/>
      <c r="C684" s="203"/>
      <c r="D684" s="203"/>
      <c r="E684" s="203"/>
      <c r="F684" s="203"/>
      <c r="G684" s="56"/>
      <c r="H684" s="203"/>
      <c r="I684" s="203"/>
      <c r="J684" s="56"/>
      <c r="K684" s="56"/>
      <c r="L684" s="56"/>
      <c r="M684" s="56"/>
      <c r="N684" s="200"/>
    </row>
    <row r="685" spans="1:14" x14ac:dyDescent="0.35">
      <c r="A685" s="58"/>
      <c r="B685" s="56"/>
      <c r="C685" s="203"/>
      <c r="D685" s="203"/>
      <c r="E685" s="203"/>
      <c r="F685" s="203"/>
      <c r="G685" s="56"/>
      <c r="H685" s="203"/>
      <c r="I685" s="203"/>
      <c r="J685" s="56"/>
      <c r="K685" s="56"/>
      <c r="L685" s="56"/>
      <c r="M685" s="56"/>
      <c r="N685" s="200"/>
    </row>
    <row r="686" spans="1:14" x14ac:dyDescent="0.35">
      <c r="A686" s="58"/>
      <c r="B686" s="56"/>
      <c r="C686" s="203"/>
      <c r="D686" s="203"/>
      <c r="E686" s="203"/>
      <c r="F686" s="203"/>
      <c r="G686" s="56"/>
      <c r="H686" s="203"/>
      <c r="I686" s="203"/>
      <c r="J686" s="56"/>
      <c r="K686" s="56"/>
      <c r="L686" s="56"/>
      <c r="M686" s="56"/>
      <c r="N686" s="200"/>
    </row>
    <row r="687" spans="1:14" x14ac:dyDescent="0.35">
      <c r="A687" s="58"/>
      <c r="B687" s="56"/>
      <c r="C687" s="203"/>
      <c r="D687" s="203"/>
      <c r="E687" s="203"/>
      <c r="F687" s="203"/>
      <c r="G687" s="56"/>
      <c r="H687" s="203"/>
      <c r="I687" s="203"/>
      <c r="J687" s="56"/>
      <c r="K687" s="56"/>
      <c r="L687" s="56"/>
      <c r="M687" s="56"/>
      <c r="N687" s="200"/>
    </row>
    <row r="688" spans="1:14" x14ac:dyDescent="0.35">
      <c r="A688" s="58"/>
      <c r="B688" s="56"/>
      <c r="C688" s="203"/>
      <c r="D688" s="203"/>
      <c r="E688" s="203"/>
      <c r="F688" s="203"/>
      <c r="G688" s="56"/>
      <c r="H688" s="203"/>
      <c r="I688" s="203"/>
      <c r="J688" s="56"/>
      <c r="K688" s="56"/>
      <c r="L688" s="56"/>
      <c r="M688" s="56"/>
      <c r="N688" s="200"/>
    </row>
    <row r="689" spans="1:14" x14ac:dyDescent="0.35">
      <c r="A689" s="58"/>
      <c r="B689" s="56"/>
      <c r="C689" s="203"/>
      <c r="D689" s="203"/>
      <c r="E689" s="203"/>
      <c r="F689" s="203"/>
      <c r="G689" s="56"/>
      <c r="H689" s="203"/>
      <c r="I689" s="203"/>
      <c r="J689" s="56"/>
      <c r="K689" s="56"/>
      <c r="L689" s="56"/>
      <c r="M689" s="56"/>
      <c r="N689" s="200"/>
    </row>
    <row r="690" spans="1:14" x14ac:dyDescent="0.35">
      <c r="A690" s="58"/>
      <c r="B690" s="56"/>
      <c r="C690" s="203"/>
      <c r="D690" s="203"/>
      <c r="E690" s="203"/>
      <c r="F690" s="203"/>
      <c r="G690" s="56"/>
      <c r="H690" s="203"/>
      <c r="I690" s="203"/>
      <c r="J690" s="56"/>
      <c r="K690" s="56"/>
      <c r="L690" s="56"/>
      <c r="M690" s="56"/>
      <c r="N690" s="200"/>
    </row>
    <row r="691" spans="1:14" x14ac:dyDescent="0.35">
      <c r="A691" s="58"/>
      <c r="B691" s="56"/>
      <c r="C691" s="203"/>
      <c r="D691" s="203"/>
      <c r="E691" s="203"/>
      <c r="F691" s="203"/>
      <c r="G691" s="56"/>
      <c r="H691" s="203"/>
      <c r="I691" s="203"/>
      <c r="J691" s="56"/>
      <c r="K691" s="56"/>
      <c r="L691" s="56"/>
      <c r="M691" s="56"/>
      <c r="N691" s="200"/>
    </row>
    <row r="692" spans="1:14" x14ac:dyDescent="0.35">
      <c r="A692" s="58"/>
      <c r="B692" s="56"/>
      <c r="C692" s="203"/>
      <c r="D692" s="203"/>
      <c r="E692" s="203"/>
      <c r="F692" s="203"/>
      <c r="G692" s="56"/>
      <c r="H692" s="203"/>
      <c r="I692" s="203"/>
      <c r="J692" s="56"/>
      <c r="K692" s="56"/>
      <c r="L692" s="56"/>
      <c r="M692" s="56"/>
      <c r="N692" s="200"/>
    </row>
    <row r="693" spans="1:14" x14ac:dyDescent="0.35">
      <c r="A693" s="58"/>
      <c r="B693" s="56"/>
      <c r="C693" s="203"/>
      <c r="D693" s="203"/>
      <c r="E693" s="203"/>
      <c r="F693" s="203"/>
      <c r="G693" s="56"/>
      <c r="H693" s="203"/>
      <c r="I693" s="203"/>
      <c r="J693" s="56"/>
      <c r="K693" s="56"/>
      <c r="L693" s="56"/>
      <c r="M693" s="56"/>
      <c r="N693" s="200"/>
    </row>
    <row r="694" spans="1:14" x14ac:dyDescent="0.35">
      <c r="A694" s="58"/>
      <c r="B694" s="56"/>
      <c r="C694" s="203"/>
      <c r="D694" s="203"/>
      <c r="E694" s="203"/>
      <c r="F694" s="203"/>
      <c r="G694" s="56"/>
      <c r="H694" s="203"/>
      <c r="I694" s="203"/>
      <c r="J694" s="56"/>
      <c r="K694" s="56"/>
      <c r="L694" s="56"/>
      <c r="M694" s="56"/>
      <c r="N694" s="200"/>
    </row>
    <row r="695" spans="1:14" x14ac:dyDescent="0.35">
      <c r="A695" s="58"/>
      <c r="B695" s="56"/>
      <c r="C695" s="203"/>
      <c r="D695" s="203"/>
      <c r="E695" s="203"/>
      <c r="F695" s="203"/>
      <c r="G695" s="56"/>
      <c r="H695" s="203"/>
      <c r="I695" s="203"/>
      <c r="J695" s="56"/>
      <c r="K695" s="56"/>
      <c r="L695" s="56"/>
      <c r="M695" s="56"/>
      <c r="N695" s="200"/>
    </row>
    <row r="696" spans="1:14" x14ac:dyDescent="0.35">
      <c r="A696" s="58"/>
      <c r="B696" s="56"/>
      <c r="C696" s="203"/>
      <c r="D696" s="203"/>
      <c r="E696" s="203"/>
      <c r="F696" s="203"/>
      <c r="G696" s="56"/>
      <c r="H696" s="203"/>
      <c r="I696" s="203"/>
      <c r="J696" s="56"/>
      <c r="K696" s="56"/>
      <c r="L696" s="56"/>
      <c r="M696" s="56"/>
      <c r="N696" s="200"/>
    </row>
    <row r="697" spans="1:14" x14ac:dyDescent="0.35">
      <c r="A697" s="58"/>
      <c r="B697" s="56"/>
      <c r="C697" s="203"/>
      <c r="D697" s="203"/>
      <c r="E697" s="203"/>
      <c r="F697" s="203"/>
      <c r="G697" s="56"/>
      <c r="H697" s="203"/>
      <c r="I697" s="203"/>
      <c r="J697" s="56"/>
      <c r="K697" s="56"/>
      <c r="L697" s="56"/>
      <c r="M697" s="56"/>
      <c r="N697" s="200"/>
    </row>
    <row r="698" spans="1:14" x14ac:dyDescent="0.35">
      <c r="A698" s="58"/>
      <c r="B698" s="56"/>
      <c r="C698" s="203"/>
      <c r="D698" s="203"/>
      <c r="E698" s="203"/>
      <c r="F698" s="203"/>
      <c r="G698" s="56"/>
      <c r="H698" s="203"/>
      <c r="I698" s="203"/>
      <c r="J698" s="56"/>
      <c r="K698" s="56"/>
      <c r="L698" s="56"/>
      <c r="M698" s="56"/>
      <c r="N698" s="200"/>
    </row>
    <row r="699" spans="1:14" x14ac:dyDescent="0.35">
      <c r="A699" s="58"/>
      <c r="B699" s="56"/>
      <c r="C699" s="203"/>
      <c r="D699" s="203"/>
      <c r="E699" s="203"/>
      <c r="F699" s="203"/>
      <c r="G699" s="56"/>
      <c r="H699" s="203"/>
      <c r="I699" s="203"/>
      <c r="J699" s="56"/>
      <c r="K699" s="56"/>
      <c r="L699" s="56"/>
      <c r="M699" s="56"/>
      <c r="N699" s="200"/>
    </row>
    <row r="700" spans="1:14" x14ac:dyDescent="0.35">
      <c r="A700" s="58"/>
      <c r="B700" s="56"/>
      <c r="C700" s="203"/>
      <c r="D700" s="203"/>
      <c r="E700" s="203"/>
      <c r="F700" s="203"/>
      <c r="G700" s="56"/>
      <c r="H700" s="203"/>
      <c r="I700" s="203"/>
      <c r="J700" s="56"/>
      <c r="K700" s="56"/>
      <c r="L700" s="56"/>
      <c r="M700" s="56"/>
      <c r="N700" s="200"/>
    </row>
    <row r="701" spans="1:14" x14ac:dyDescent="0.35">
      <c r="A701" s="58"/>
      <c r="B701" s="56"/>
      <c r="C701" s="203"/>
      <c r="D701" s="203"/>
      <c r="E701" s="203"/>
      <c r="F701" s="203"/>
      <c r="G701" s="56"/>
      <c r="H701" s="203"/>
      <c r="I701" s="203"/>
      <c r="J701" s="56"/>
      <c r="K701" s="56"/>
      <c r="L701" s="56"/>
      <c r="M701" s="56"/>
      <c r="N701" s="200"/>
    </row>
    <row r="702" spans="1:14" x14ac:dyDescent="0.35">
      <c r="A702" s="58"/>
      <c r="B702" s="56"/>
      <c r="C702" s="203"/>
      <c r="D702" s="203"/>
      <c r="E702" s="203"/>
      <c r="F702" s="203"/>
      <c r="G702" s="56"/>
      <c r="H702" s="203"/>
      <c r="I702" s="203"/>
      <c r="J702" s="56"/>
      <c r="K702" s="56"/>
      <c r="L702" s="56"/>
      <c r="M702" s="56"/>
      <c r="N702" s="200"/>
    </row>
    <row r="703" spans="1:14" x14ac:dyDescent="0.35">
      <c r="A703" s="58"/>
      <c r="B703" s="56"/>
      <c r="C703" s="203"/>
      <c r="D703" s="203"/>
      <c r="E703" s="203"/>
      <c r="F703" s="203"/>
      <c r="G703" s="56"/>
      <c r="H703" s="203"/>
      <c r="I703" s="203"/>
      <c r="J703" s="56"/>
      <c r="K703" s="56"/>
      <c r="L703" s="56"/>
      <c r="M703" s="56"/>
      <c r="N703" s="200"/>
    </row>
    <row r="704" spans="1:14" x14ac:dyDescent="0.35">
      <c r="A704" s="58"/>
      <c r="B704" s="56"/>
      <c r="C704" s="203"/>
      <c r="D704" s="203"/>
      <c r="E704" s="203"/>
      <c r="F704" s="203"/>
      <c r="G704" s="56"/>
      <c r="H704" s="203"/>
      <c r="I704" s="203"/>
      <c r="J704" s="56"/>
      <c r="K704" s="56"/>
      <c r="L704" s="56"/>
      <c r="M704" s="56"/>
      <c r="N704" s="200"/>
    </row>
    <row r="705" spans="1:14" x14ac:dyDescent="0.35">
      <c r="A705" s="58"/>
      <c r="B705" s="56"/>
      <c r="C705" s="203"/>
      <c r="D705" s="203"/>
      <c r="E705" s="203"/>
      <c r="F705" s="203"/>
      <c r="G705" s="56"/>
      <c r="H705" s="203"/>
      <c r="I705" s="203"/>
      <c r="J705" s="56"/>
      <c r="K705" s="56"/>
      <c r="L705" s="56"/>
      <c r="M705" s="56"/>
      <c r="N705" s="200"/>
    </row>
    <row r="706" spans="1:14" x14ac:dyDescent="0.35">
      <c r="A706" s="58"/>
      <c r="B706" s="56"/>
      <c r="C706" s="203"/>
      <c r="D706" s="203"/>
      <c r="E706" s="203"/>
      <c r="F706" s="203"/>
      <c r="G706" s="56"/>
      <c r="H706" s="203"/>
      <c r="I706" s="203"/>
      <c r="J706" s="56"/>
      <c r="K706" s="56"/>
      <c r="L706" s="56"/>
      <c r="M706" s="56"/>
      <c r="N706" s="200"/>
    </row>
    <row r="707" spans="1:14" x14ac:dyDescent="0.35">
      <c r="A707" s="58"/>
      <c r="B707" s="56"/>
      <c r="C707" s="203"/>
      <c r="D707" s="203"/>
      <c r="E707" s="203"/>
      <c r="F707" s="203"/>
      <c r="G707" s="56"/>
      <c r="H707" s="203"/>
      <c r="I707" s="203"/>
      <c r="J707" s="56"/>
      <c r="K707" s="56"/>
      <c r="L707" s="56"/>
      <c r="M707" s="56"/>
      <c r="N707" s="200"/>
    </row>
    <row r="708" spans="1:14" x14ac:dyDescent="0.35">
      <c r="A708" s="58"/>
      <c r="B708" s="56"/>
      <c r="C708" s="203"/>
      <c r="D708" s="203"/>
      <c r="E708" s="203"/>
      <c r="F708" s="203"/>
      <c r="G708" s="56"/>
      <c r="H708" s="203"/>
      <c r="I708" s="203"/>
      <c r="J708" s="56"/>
      <c r="K708" s="56"/>
      <c r="L708" s="56"/>
      <c r="M708" s="56"/>
      <c r="N708" s="200"/>
    </row>
    <row r="709" spans="1:14" x14ac:dyDescent="0.35">
      <c r="A709" s="58"/>
      <c r="B709" s="56"/>
      <c r="C709" s="203"/>
      <c r="D709" s="203"/>
      <c r="E709" s="203"/>
      <c r="F709" s="203"/>
      <c r="G709" s="56"/>
      <c r="H709" s="203"/>
      <c r="I709" s="203"/>
      <c r="J709" s="56"/>
      <c r="K709" s="56"/>
      <c r="L709" s="56"/>
      <c r="M709" s="56"/>
      <c r="N709" s="200"/>
    </row>
    <row r="710" spans="1:14" x14ac:dyDescent="0.35">
      <c r="A710" s="58"/>
      <c r="B710" s="56"/>
      <c r="C710" s="203"/>
      <c r="D710" s="203"/>
      <c r="E710" s="203"/>
      <c r="F710" s="203"/>
      <c r="G710" s="56"/>
      <c r="H710" s="203"/>
      <c r="I710" s="203"/>
      <c r="J710" s="56"/>
      <c r="K710" s="56"/>
      <c r="L710" s="56"/>
      <c r="M710" s="56"/>
      <c r="N710" s="200"/>
    </row>
    <row r="711" spans="1:14" x14ac:dyDescent="0.35">
      <c r="A711" s="58"/>
      <c r="B711" s="56"/>
      <c r="C711" s="203"/>
      <c r="D711" s="203"/>
      <c r="E711" s="203"/>
      <c r="F711" s="203"/>
      <c r="G711" s="56"/>
      <c r="H711" s="203"/>
      <c r="I711" s="203"/>
      <c r="J711" s="56"/>
      <c r="K711" s="56"/>
      <c r="L711" s="56"/>
      <c r="M711" s="56"/>
      <c r="N711" s="200"/>
    </row>
    <row r="712" spans="1:14" x14ac:dyDescent="0.35">
      <c r="A712" s="58"/>
      <c r="B712" s="56"/>
      <c r="C712" s="203"/>
      <c r="D712" s="203"/>
      <c r="E712" s="203"/>
      <c r="F712" s="203"/>
      <c r="G712" s="56"/>
      <c r="H712" s="203"/>
      <c r="I712" s="203"/>
      <c r="J712" s="56"/>
      <c r="K712" s="56"/>
      <c r="L712" s="56"/>
      <c r="M712" s="56"/>
      <c r="N712" s="200"/>
    </row>
    <row r="713" spans="1:14" x14ac:dyDescent="0.35">
      <c r="A713" s="58"/>
      <c r="B713" s="56"/>
      <c r="C713" s="203"/>
      <c r="D713" s="203"/>
      <c r="E713" s="203"/>
      <c r="F713" s="203"/>
      <c r="G713" s="56"/>
      <c r="H713" s="203"/>
      <c r="I713" s="203"/>
      <c r="J713" s="56"/>
      <c r="K713" s="56"/>
      <c r="L713" s="56"/>
      <c r="M713" s="56"/>
      <c r="N713" s="200"/>
    </row>
    <row r="714" spans="1:14" x14ac:dyDescent="0.35">
      <c r="A714" s="58"/>
      <c r="B714" s="56"/>
      <c r="C714" s="203"/>
      <c r="D714" s="203"/>
      <c r="E714" s="203"/>
      <c r="F714" s="203"/>
      <c r="G714" s="56"/>
      <c r="H714" s="203"/>
      <c r="I714" s="203"/>
      <c r="J714" s="56"/>
      <c r="K714" s="56"/>
      <c r="L714" s="56"/>
      <c r="M714" s="56"/>
      <c r="N714" s="200"/>
    </row>
    <row r="715" spans="1:14" x14ac:dyDescent="0.35">
      <c r="A715" s="58"/>
      <c r="B715" s="56"/>
      <c r="C715" s="203"/>
      <c r="D715" s="203"/>
      <c r="E715" s="203"/>
      <c r="F715" s="203"/>
      <c r="G715" s="56"/>
      <c r="H715" s="203"/>
      <c r="I715" s="203"/>
      <c r="J715" s="56"/>
      <c r="K715" s="56"/>
      <c r="L715" s="56"/>
      <c r="M715" s="56"/>
      <c r="N715" s="200"/>
    </row>
    <row r="716" spans="1:14" x14ac:dyDescent="0.35">
      <c r="A716" s="58"/>
      <c r="B716" s="56"/>
      <c r="C716" s="203"/>
      <c r="D716" s="203"/>
      <c r="E716" s="203"/>
      <c r="F716" s="203"/>
      <c r="G716" s="56"/>
      <c r="H716" s="203"/>
      <c r="I716" s="203"/>
      <c r="J716" s="56"/>
      <c r="K716" s="56"/>
      <c r="L716" s="56"/>
      <c r="M716" s="56"/>
      <c r="N716" s="200"/>
    </row>
    <row r="717" spans="1:14" x14ac:dyDescent="0.35">
      <c r="A717" s="58"/>
      <c r="B717" s="56"/>
      <c r="C717" s="203"/>
      <c r="D717" s="203"/>
      <c r="E717" s="203"/>
      <c r="F717" s="203"/>
      <c r="G717" s="56"/>
      <c r="H717" s="203"/>
      <c r="I717" s="203"/>
      <c r="J717" s="56"/>
      <c r="K717" s="56"/>
      <c r="L717" s="56"/>
      <c r="M717" s="56"/>
      <c r="N717" s="200"/>
    </row>
    <row r="718" spans="1:14" x14ac:dyDescent="0.35">
      <c r="A718" s="58"/>
      <c r="B718" s="56"/>
      <c r="C718" s="203"/>
      <c r="D718" s="203"/>
      <c r="E718" s="203"/>
      <c r="F718" s="203"/>
      <c r="G718" s="56"/>
      <c r="H718" s="203"/>
      <c r="I718" s="203"/>
      <c r="J718" s="56"/>
      <c r="K718" s="56"/>
      <c r="L718" s="56"/>
      <c r="M718" s="56"/>
      <c r="N718" s="200"/>
    </row>
    <row r="719" spans="1:14" x14ac:dyDescent="0.35">
      <c r="A719" s="58"/>
      <c r="B719" s="56"/>
      <c r="C719" s="203"/>
      <c r="D719" s="203"/>
      <c r="E719" s="203"/>
      <c r="F719" s="203"/>
      <c r="G719" s="56"/>
      <c r="H719" s="203"/>
      <c r="I719" s="203"/>
      <c r="J719" s="56"/>
      <c r="K719" s="56"/>
      <c r="L719" s="56"/>
      <c r="M719" s="56"/>
      <c r="N719" s="200"/>
    </row>
    <row r="720" spans="1:14" x14ac:dyDescent="0.35">
      <c r="A720" s="58"/>
      <c r="B720" s="56"/>
      <c r="C720" s="203"/>
      <c r="D720" s="203"/>
      <c r="E720" s="203"/>
      <c r="F720" s="203"/>
      <c r="G720" s="56"/>
      <c r="H720" s="203"/>
      <c r="I720" s="203"/>
      <c r="J720" s="56"/>
      <c r="K720" s="56"/>
      <c r="L720" s="56"/>
      <c r="M720" s="56"/>
      <c r="N720" s="200"/>
    </row>
    <row r="721" spans="1:14" x14ac:dyDescent="0.35">
      <c r="A721" s="58"/>
      <c r="B721" s="56"/>
      <c r="C721" s="203"/>
      <c r="D721" s="203"/>
      <c r="E721" s="203"/>
      <c r="F721" s="203"/>
      <c r="G721" s="56"/>
      <c r="H721" s="203"/>
      <c r="I721" s="203"/>
      <c r="J721" s="56"/>
      <c r="K721" s="56"/>
      <c r="L721" s="56"/>
      <c r="M721" s="56"/>
      <c r="N721" s="200"/>
    </row>
    <row r="722" spans="1:14" x14ac:dyDescent="0.35">
      <c r="A722" s="58"/>
      <c r="B722" s="56"/>
      <c r="C722" s="203"/>
      <c r="D722" s="203"/>
      <c r="E722" s="203"/>
      <c r="F722" s="203"/>
      <c r="G722" s="56"/>
      <c r="H722" s="203"/>
      <c r="I722" s="203"/>
      <c r="J722" s="56"/>
      <c r="K722" s="56"/>
      <c r="L722" s="56"/>
      <c r="M722" s="56"/>
      <c r="N722" s="200"/>
    </row>
    <row r="723" spans="1:14" x14ac:dyDescent="0.35">
      <c r="A723" s="58"/>
      <c r="B723" s="56"/>
      <c r="C723" s="203"/>
      <c r="D723" s="203"/>
      <c r="E723" s="203"/>
      <c r="F723" s="203"/>
      <c r="G723" s="56"/>
      <c r="H723" s="203"/>
      <c r="I723" s="203"/>
      <c r="J723" s="56"/>
      <c r="K723" s="56"/>
      <c r="L723" s="56"/>
      <c r="M723" s="56"/>
      <c r="N723" s="200"/>
    </row>
    <row r="724" spans="1:14" x14ac:dyDescent="0.35">
      <c r="A724" s="58" t="s">
        <v>65</v>
      </c>
      <c r="B724" s="56"/>
      <c r="C724" s="203"/>
      <c r="D724" s="203"/>
      <c r="E724" s="203"/>
      <c r="F724" s="203"/>
      <c r="G724" s="56"/>
      <c r="H724" s="203"/>
      <c r="I724" s="203"/>
      <c r="J724" s="56"/>
      <c r="K724" s="56"/>
      <c r="L724" s="56"/>
      <c r="M724" s="56"/>
      <c r="N724" s="200"/>
    </row>
    <row r="725" spans="1:14" x14ac:dyDescent="0.35">
      <c r="A725" s="58"/>
      <c r="B725" s="56"/>
      <c r="C725" s="203"/>
      <c r="D725" s="203"/>
      <c r="E725" s="203"/>
      <c r="F725" s="203"/>
      <c r="G725" s="56"/>
      <c r="H725" s="203"/>
      <c r="I725" s="203"/>
      <c r="J725" s="56"/>
      <c r="K725" s="56"/>
      <c r="L725" s="56"/>
      <c r="M725" s="56"/>
      <c r="N725" s="200"/>
    </row>
    <row r="726" spans="1:14" x14ac:dyDescent="0.35">
      <c r="A726" s="58"/>
      <c r="B726" s="56"/>
      <c r="C726" s="203"/>
      <c r="D726" s="203"/>
      <c r="E726" s="203"/>
      <c r="F726" s="203"/>
      <c r="G726" s="56"/>
      <c r="H726" s="203"/>
      <c r="I726" s="203"/>
      <c r="J726" s="56"/>
      <c r="K726" s="56"/>
      <c r="L726" s="56"/>
      <c r="M726" s="56"/>
      <c r="N726" s="200"/>
    </row>
    <row r="727" spans="1:14" x14ac:dyDescent="0.35">
      <c r="A727" s="58"/>
      <c r="B727" s="56"/>
      <c r="C727" s="203"/>
      <c r="D727" s="203"/>
      <c r="E727" s="203"/>
      <c r="F727" s="203"/>
      <c r="G727" s="56"/>
      <c r="H727" s="203"/>
      <c r="I727" s="203"/>
      <c r="J727" s="56"/>
      <c r="K727" s="56"/>
      <c r="L727" s="56"/>
      <c r="M727" s="56"/>
      <c r="N727" s="200"/>
    </row>
    <row r="728" spans="1:14" x14ac:dyDescent="0.35">
      <c r="A728" s="58"/>
      <c r="B728" s="56"/>
      <c r="C728" s="203"/>
      <c r="D728" s="203"/>
      <c r="E728" s="203"/>
      <c r="F728" s="203"/>
      <c r="G728" s="56"/>
      <c r="H728" s="203"/>
      <c r="I728" s="203"/>
      <c r="J728" s="56"/>
      <c r="K728" s="56"/>
      <c r="L728" s="56"/>
      <c r="M728" s="56"/>
      <c r="N728" s="200"/>
    </row>
    <row r="729" spans="1:14" x14ac:dyDescent="0.35">
      <c r="A729" s="58"/>
      <c r="B729" s="56"/>
      <c r="C729" s="203"/>
      <c r="D729" s="203"/>
      <c r="E729" s="203"/>
      <c r="F729" s="203"/>
      <c r="G729" s="56"/>
      <c r="H729" s="203"/>
      <c r="I729" s="203"/>
      <c r="J729" s="56"/>
      <c r="K729" s="56"/>
      <c r="L729" s="56"/>
      <c r="M729" s="56"/>
      <c r="N729" s="200"/>
    </row>
    <row r="730" spans="1:14" x14ac:dyDescent="0.35">
      <c r="A730" s="58"/>
      <c r="B730" s="56"/>
      <c r="C730" s="203"/>
      <c r="D730" s="203"/>
      <c r="E730" s="203"/>
      <c r="F730" s="203"/>
      <c r="G730" s="56"/>
      <c r="H730" s="203"/>
      <c r="I730" s="203"/>
      <c r="J730" s="56"/>
      <c r="K730" s="56"/>
      <c r="L730" s="56"/>
      <c r="M730" s="56"/>
      <c r="N730" s="200"/>
    </row>
    <row r="731" spans="1:14" x14ac:dyDescent="0.35">
      <c r="A731" s="58"/>
      <c r="B731" s="56"/>
      <c r="C731" s="203"/>
      <c r="D731" s="203"/>
      <c r="E731" s="203"/>
      <c r="F731" s="203"/>
      <c r="G731" s="56"/>
      <c r="H731" s="203"/>
      <c r="I731" s="203"/>
      <c r="J731" s="56"/>
      <c r="K731" s="56"/>
      <c r="L731" s="56"/>
      <c r="M731" s="56"/>
      <c r="N731" s="200"/>
    </row>
    <row r="732" spans="1:14" x14ac:dyDescent="0.35">
      <c r="A732" s="58"/>
      <c r="B732" s="56"/>
      <c r="C732" s="203"/>
      <c r="D732" s="203"/>
      <c r="E732" s="203"/>
      <c r="F732" s="203"/>
      <c r="G732" s="56"/>
      <c r="H732" s="203"/>
      <c r="I732" s="203"/>
      <c r="J732" s="56"/>
      <c r="K732" s="56"/>
      <c r="L732" s="56"/>
      <c r="M732" s="56"/>
      <c r="N732" s="200"/>
    </row>
    <row r="733" spans="1:14" x14ac:dyDescent="0.35">
      <c r="A733" s="58"/>
      <c r="B733" s="56"/>
      <c r="C733" s="203"/>
      <c r="D733" s="203"/>
      <c r="E733" s="203"/>
      <c r="F733" s="203"/>
      <c r="G733" s="56"/>
      <c r="H733" s="203"/>
      <c r="I733" s="203"/>
      <c r="J733" s="56"/>
      <c r="K733" s="56"/>
      <c r="L733" s="56"/>
      <c r="M733" s="56"/>
      <c r="N733" s="200"/>
    </row>
    <row r="734" spans="1:14" x14ac:dyDescent="0.35">
      <c r="A734" s="58"/>
      <c r="B734" s="56"/>
      <c r="C734" s="203"/>
      <c r="D734" s="203"/>
      <c r="E734" s="203"/>
      <c r="F734" s="203"/>
      <c r="G734" s="56"/>
      <c r="H734" s="203"/>
      <c r="I734" s="203"/>
      <c r="J734" s="56"/>
      <c r="K734" s="56"/>
      <c r="L734" s="56"/>
      <c r="M734" s="56"/>
      <c r="N734" s="200"/>
    </row>
    <row r="735" spans="1:14" x14ac:dyDescent="0.35">
      <c r="A735" s="58"/>
      <c r="B735" s="56"/>
      <c r="C735" s="203"/>
      <c r="D735" s="203"/>
      <c r="E735" s="203"/>
      <c r="F735" s="203"/>
      <c r="G735" s="56"/>
      <c r="H735" s="203"/>
      <c r="I735" s="203"/>
      <c r="J735" s="56"/>
      <c r="K735" s="56"/>
      <c r="L735" s="56"/>
      <c r="M735" s="56"/>
      <c r="N735" s="200"/>
    </row>
    <row r="736" spans="1:14" x14ac:dyDescent="0.35">
      <c r="A736" s="58"/>
      <c r="B736" s="56"/>
      <c r="C736" s="203"/>
      <c r="D736" s="203"/>
      <c r="E736" s="203"/>
      <c r="F736" s="203"/>
      <c r="G736" s="56"/>
      <c r="H736" s="203"/>
      <c r="I736" s="203"/>
      <c r="J736" s="56"/>
      <c r="K736" s="56"/>
      <c r="L736" s="56"/>
      <c r="M736" s="56"/>
      <c r="N736" s="200"/>
    </row>
    <row r="737" spans="1:14" x14ac:dyDescent="0.35">
      <c r="A737" s="58"/>
      <c r="B737" s="56"/>
      <c r="C737" s="203"/>
      <c r="D737" s="203"/>
      <c r="E737" s="203"/>
      <c r="F737" s="203"/>
      <c r="G737" s="56"/>
      <c r="H737" s="203"/>
      <c r="I737" s="203"/>
      <c r="J737" s="56"/>
      <c r="K737" s="56"/>
      <c r="L737" s="56"/>
      <c r="M737" s="56"/>
      <c r="N737" s="200"/>
    </row>
    <row r="738" spans="1:14" x14ac:dyDescent="0.35">
      <c r="A738" s="58"/>
      <c r="B738" s="56"/>
      <c r="C738" s="203"/>
      <c r="D738" s="203"/>
      <c r="E738" s="203"/>
      <c r="F738" s="203"/>
      <c r="G738" s="56"/>
      <c r="H738" s="203"/>
      <c r="I738" s="203"/>
      <c r="J738" s="56"/>
      <c r="K738" s="56"/>
      <c r="L738" s="56"/>
      <c r="M738" s="56"/>
      <c r="N738" s="200"/>
    </row>
    <row r="739" spans="1:14" x14ac:dyDescent="0.35">
      <c r="A739" s="58"/>
      <c r="B739" s="56"/>
      <c r="C739" s="203"/>
      <c r="D739" s="203"/>
      <c r="E739" s="203"/>
      <c r="F739" s="203"/>
      <c r="G739" s="56"/>
      <c r="H739" s="203"/>
      <c r="I739" s="203"/>
      <c r="J739" s="56"/>
      <c r="K739" s="56"/>
      <c r="L739" s="56"/>
      <c r="M739" s="56"/>
      <c r="N739" s="200"/>
    </row>
    <row r="740" spans="1:14" x14ac:dyDescent="0.35">
      <c r="A740" s="58"/>
      <c r="B740" s="56"/>
      <c r="C740" s="203"/>
      <c r="D740" s="203"/>
      <c r="E740" s="203"/>
      <c r="F740" s="203"/>
      <c r="G740" s="56"/>
      <c r="H740" s="203"/>
      <c r="I740" s="203"/>
      <c r="J740" s="56"/>
      <c r="K740" s="56"/>
      <c r="L740" s="56"/>
      <c r="M740" s="56"/>
      <c r="N740" s="200"/>
    </row>
    <row r="741" spans="1:14" x14ac:dyDescent="0.35">
      <c r="A741" s="58"/>
      <c r="B741" s="56"/>
      <c r="C741" s="203"/>
      <c r="D741" s="203"/>
      <c r="E741" s="203"/>
      <c r="F741" s="203"/>
      <c r="G741" s="56"/>
      <c r="H741" s="203"/>
      <c r="I741" s="203"/>
      <c r="J741" s="56"/>
      <c r="K741" s="56"/>
      <c r="L741" s="56"/>
      <c r="M741" s="56"/>
      <c r="N741" s="200"/>
    </row>
    <row r="742" spans="1:14" x14ac:dyDescent="0.35">
      <c r="A742" s="58"/>
      <c r="B742" s="56"/>
      <c r="C742" s="203"/>
      <c r="D742" s="203"/>
      <c r="E742" s="203"/>
      <c r="F742" s="203"/>
      <c r="G742" s="56"/>
      <c r="H742" s="203"/>
      <c r="I742" s="203"/>
      <c r="J742" s="56"/>
      <c r="K742" s="56"/>
      <c r="L742" s="56"/>
      <c r="M742" s="56"/>
      <c r="N742" s="200"/>
    </row>
    <row r="743" spans="1:14" x14ac:dyDescent="0.35">
      <c r="A743" s="58"/>
      <c r="B743" s="56"/>
      <c r="C743" s="203"/>
      <c r="D743" s="203"/>
      <c r="E743" s="203"/>
      <c r="F743" s="203"/>
      <c r="G743" s="56"/>
      <c r="H743" s="203"/>
      <c r="I743" s="203"/>
      <c r="J743" s="56"/>
      <c r="K743" s="56"/>
      <c r="L743" s="56"/>
      <c r="M743" s="56"/>
      <c r="N743" s="200"/>
    </row>
    <row r="744" spans="1:14" x14ac:dyDescent="0.35">
      <c r="A744" s="58"/>
      <c r="B744" s="56"/>
      <c r="C744" s="203"/>
      <c r="D744" s="203"/>
      <c r="E744" s="203"/>
      <c r="F744" s="203"/>
      <c r="G744" s="56"/>
      <c r="H744" s="203"/>
      <c r="I744" s="203"/>
      <c r="J744" s="56"/>
      <c r="K744" s="56"/>
      <c r="L744" s="56"/>
      <c r="M744" s="56"/>
      <c r="N744" s="200"/>
    </row>
    <row r="745" spans="1:14" x14ac:dyDescent="0.35">
      <c r="A745" s="58"/>
      <c r="B745" s="56"/>
      <c r="C745" s="203"/>
      <c r="D745" s="203"/>
      <c r="E745" s="203"/>
      <c r="F745" s="203"/>
      <c r="G745" s="56"/>
      <c r="H745" s="203"/>
      <c r="I745" s="203"/>
      <c r="J745" s="56"/>
      <c r="K745" s="56"/>
      <c r="L745" s="56"/>
      <c r="M745" s="56"/>
      <c r="N745" s="200"/>
    </row>
    <row r="746" spans="1:14" x14ac:dyDescent="0.35">
      <c r="A746" s="58"/>
      <c r="B746" s="56"/>
      <c r="C746" s="203"/>
      <c r="D746" s="203"/>
      <c r="E746" s="203"/>
      <c r="F746" s="203"/>
      <c r="G746" s="56"/>
      <c r="H746" s="203"/>
      <c r="I746" s="203"/>
      <c r="J746" s="56"/>
      <c r="K746" s="56"/>
      <c r="L746" s="56"/>
      <c r="M746" s="56"/>
      <c r="N746" s="200"/>
    </row>
    <row r="747" spans="1:14" x14ac:dyDescent="0.35">
      <c r="A747" s="58"/>
      <c r="B747" s="56"/>
      <c r="C747" s="203"/>
      <c r="D747" s="203"/>
      <c r="E747" s="203"/>
      <c r="F747" s="203"/>
      <c r="G747" s="56"/>
      <c r="H747" s="203"/>
      <c r="I747" s="203"/>
      <c r="J747" s="56"/>
      <c r="K747" s="56"/>
      <c r="L747" s="56"/>
      <c r="M747" s="56"/>
      <c r="N747" s="200"/>
    </row>
    <row r="748" spans="1:14" x14ac:dyDescent="0.35">
      <c r="A748" s="58"/>
      <c r="B748" s="56"/>
      <c r="C748" s="203"/>
      <c r="D748" s="203"/>
      <c r="E748" s="203"/>
      <c r="F748" s="203"/>
      <c r="G748" s="56"/>
      <c r="H748" s="203"/>
      <c r="I748" s="203"/>
      <c r="J748" s="56"/>
      <c r="K748" s="56"/>
      <c r="L748" s="56"/>
      <c r="M748" s="56"/>
      <c r="N748" s="200"/>
    </row>
    <row r="749" spans="1:14" x14ac:dyDescent="0.35">
      <c r="A749" s="58"/>
      <c r="B749" s="56"/>
      <c r="C749" s="203"/>
      <c r="D749" s="203"/>
      <c r="E749" s="203"/>
      <c r="F749" s="203"/>
      <c r="G749" s="56"/>
      <c r="H749" s="203"/>
      <c r="I749" s="203"/>
      <c r="J749" s="56"/>
      <c r="K749" s="56"/>
      <c r="L749" s="56"/>
      <c r="M749" s="56"/>
      <c r="N749" s="200"/>
    </row>
    <row r="750" spans="1:14" x14ac:dyDescent="0.35">
      <c r="A750" s="58"/>
      <c r="B750" s="56"/>
      <c r="C750" s="203"/>
      <c r="D750" s="203"/>
      <c r="E750" s="203"/>
      <c r="F750" s="203"/>
      <c r="G750" s="56"/>
      <c r="H750" s="203"/>
      <c r="I750" s="203"/>
      <c r="J750" s="56"/>
      <c r="K750" s="56"/>
      <c r="L750" s="56"/>
      <c r="M750" s="56"/>
      <c r="N750" s="200"/>
    </row>
    <row r="751" spans="1:14" x14ac:dyDescent="0.35">
      <c r="A751" s="58"/>
      <c r="B751" s="56"/>
      <c r="C751" s="203"/>
      <c r="D751" s="203"/>
      <c r="E751" s="203"/>
      <c r="F751" s="203"/>
      <c r="G751" s="56"/>
      <c r="H751" s="203"/>
      <c r="I751" s="203"/>
      <c r="J751" s="56"/>
      <c r="K751" s="56"/>
      <c r="L751" s="56"/>
      <c r="M751" s="56"/>
      <c r="N751" s="200"/>
    </row>
    <row r="752" spans="1:14" x14ac:dyDescent="0.35">
      <c r="A752" s="58"/>
      <c r="B752" s="56"/>
      <c r="C752" s="203"/>
      <c r="D752" s="203"/>
      <c r="E752" s="203"/>
      <c r="F752" s="203"/>
      <c r="G752" s="56"/>
      <c r="H752" s="203"/>
      <c r="I752" s="203"/>
      <c r="J752" s="56"/>
      <c r="K752" s="56"/>
      <c r="L752" s="56"/>
      <c r="M752" s="56"/>
      <c r="N752" s="200"/>
    </row>
    <row r="753" spans="1:14" x14ac:dyDescent="0.35">
      <c r="A753" s="58"/>
      <c r="B753" s="56"/>
      <c r="C753" s="203"/>
      <c r="D753" s="203"/>
      <c r="E753" s="203"/>
      <c r="F753" s="203"/>
      <c r="G753" s="56"/>
      <c r="H753" s="203"/>
      <c r="I753" s="203"/>
      <c r="J753" s="56"/>
      <c r="K753" s="56"/>
      <c r="L753" s="56"/>
      <c r="M753" s="56"/>
      <c r="N753" s="200"/>
    </row>
    <row r="754" spans="1:14" x14ac:dyDescent="0.35">
      <c r="A754" s="58"/>
      <c r="B754" s="56"/>
      <c r="C754" s="203"/>
      <c r="D754" s="203"/>
      <c r="E754" s="203"/>
      <c r="F754" s="203"/>
      <c r="G754" s="56"/>
      <c r="H754" s="203"/>
      <c r="I754" s="203"/>
      <c r="J754" s="56"/>
      <c r="K754" s="56"/>
      <c r="L754" s="56"/>
      <c r="M754" s="56"/>
      <c r="N754" s="200"/>
    </row>
    <row r="755" spans="1:14" x14ac:dyDescent="0.35">
      <c r="A755" s="58"/>
      <c r="B755" s="56"/>
      <c r="C755" s="203"/>
      <c r="D755" s="203"/>
      <c r="E755" s="203"/>
      <c r="F755" s="203"/>
      <c r="G755" s="56"/>
      <c r="H755" s="203"/>
      <c r="I755" s="203"/>
      <c r="J755" s="56"/>
      <c r="K755" s="56"/>
      <c r="L755" s="56"/>
      <c r="M755" s="56"/>
      <c r="N755" s="200"/>
    </row>
    <row r="756" spans="1:14" x14ac:dyDescent="0.35">
      <c r="A756" s="58"/>
      <c r="B756" s="56"/>
      <c r="C756" s="203"/>
      <c r="D756" s="203"/>
      <c r="E756" s="203"/>
      <c r="F756" s="203"/>
      <c r="G756" s="56"/>
      <c r="H756" s="203"/>
      <c r="I756" s="203"/>
      <c r="J756" s="56"/>
      <c r="K756" s="56"/>
      <c r="L756" s="56"/>
      <c r="M756" s="56"/>
      <c r="N756" s="200"/>
    </row>
    <row r="757" spans="1:14" x14ac:dyDescent="0.35">
      <c r="A757" s="58"/>
      <c r="B757" s="56"/>
      <c r="C757" s="203"/>
      <c r="D757" s="203"/>
      <c r="E757" s="203"/>
      <c r="F757" s="203"/>
      <c r="G757" s="56"/>
      <c r="H757" s="203"/>
      <c r="I757" s="203"/>
      <c r="J757" s="56"/>
      <c r="K757" s="56"/>
      <c r="L757" s="56"/>
      <c r="M757" s="56"/>
      <c r="N757" s="200"/>
    </row>
    <row r="758" spans="1:14" x14ac:dyDescent="0.35">
      <c r="A758" s="58"/>
      <c r="B758" s="56"/>
      <c r="C758" s="203"/>
      <c r="D758" s="203"/>
      <c r="E758" s="203"/>
      <c r="F758" s="203"/>
      <c r="G758" s="56"/>
      <c r="H758" s="203"/>
      <c r="I758" s="203"/>
      <c r="J758" s="56"/>
      <c r="K758" s="56"/>
      <c r="L758" s="56"/>
      <c r="M758" s="56"/>
      <c r="N758" s="200"/>
    </row>
    <row r="759" spans="1:14" x14ac:dyDescent="0.35">
      <c r="A759" s="58"/>
      <c r="B759" s="56"/>
      <c r="C759" s="203"/>
      <c r="D759" s="203"/>
      <c r="E759" s="203"/>
      <c r="F759" s="203"/>
      <c r="G759" s="56"/>
      <c r="H759" s="203"/>
      <c r="I759" s="203"/>
      <c r="J759" s="56"/>
      <c r="K759" s="56"/>
      <c r="L759" s="56"/>
      <c r="M759" s="56"/>
      <c r="N759" s="200"/>
    </row>
    <row r="760" spans="1:14" x14ac:dyDescent="0.35">
      <c r="A760" s="58"/>
      <c r="B760" s="56"/>
      <c r="C760" s="203"/>
      <c r="D760" s="203"/>
      <c r="E760" s="203"/>
      <c r="F760" s="203"/>
      <c r="G760" s="56"/>
      <c r="H760" s="203"/>
      <c r="I760" s="203"/>
      <c r="J760" s="56"/>
      <c r="K760" s="56"/>
      <c r="L760" s="56"/>
      <c r="M760" s="56"/>
      <c r="N760" s="200"/>
    </row>
    <row r="761" spans="1:14" x14ac:dyDescent="0.35">
      <c r="A761" s="58"/>
      <c r="B761" s="56"/>
      <c r="C761" s="203"/>
      <c r="D761" s="203"/>
      <c r="E761" s="203"/>
      <c r="F761" s="203"/>
      <c r="G761" s="56"/>
      <c r="H761" s="203"/>
      <c r="I761" s="203"/>
      <c r="J761" s="56"/>
      <c r="K761" s="56"/>
      <c r="L761" s="56"/>
      <c r="M761" s="56"/>
      <c r="N761" s="200"/>
    </row>
    <row r="762" spans="1:14" x14ac:dyDescent="0.35">
      <c r="A762" s="58"/>
      <c r="B762" s="56"/>
      <c r="C762" s="203"/>
      <c r="D762" s="203"/>
      <c r="E762" s="203"/>
      <c r="F762" s="203"/>
      <c r="G762" s="56"/>
      <c r="H762" s="203"/>
      <c r="I762" s="203"/>
      <c r="J762" s="56"/>
      <c r="K762" s="56"/>
      <c r="L762" s="56"/>
      <c r="M762" s="56"/>
      <c r="N762" s="200"/>
    </row>
    <row r="763" spans="1:14" x14ac:dyDescent="0.35">
      <c r="A763" s="58"/>
      <c r="B763" s="56"/>
      <c r="C763" s="203"/>
      <c r="D763" s="203"/>
      <c r="E763" s="203"/>
      <c r="F763" s="203"/>
      <c r="G763" s="56"/>
      <c r="H763" s="203"/>
      <c r="I763" s="203"/>
      <c r="J763" s="56"/>
      <c r="K763" s="56"/>
      <c r="L763" s="56"/>
      <c r="M763" s="56"/>
      <c r="N763" s="200"/>
    </row>
    <row r="764" spans="1:14" x14ac:dyDescent="0.35">
      <c r="A764" s="58"/>
      <c r="B764" s="56"/>
      <c r="C764" s="203"/>
      <c r="D764" s="203"/>
      <c r="E764" s="203"/>
      <c r="F764" s="203"/>
      <c r="G764" s="56"/>
      <c r="H764" s="203"/>
      <c r="I764" s="203"/>
      <c r="J764" s="56"/>
      <c r="K764" s="56"/>
      <c r="L764" s="56"/>
      <c r="M764" s="56"/>
      <c r="N764" s="200"/>
    </row>
    <row r="765" spans="1:14" x14ac:dyDescent="0.35">
      <c r="A765" s="58"/>
      <c r="B765" s="56"/>
      <c r="C765" s="203"/>
      <c r="D765" s="203"/>
      <c r="E765" s="203"/>
      <c r="F765" s="203"/>
      <c r="G765" s="56"/>
      <c r="H765" s="203"/>
      <c r="I765" s="203"/>
      <c r="J765" s="56"/>
      <c r="K765" s="56"/>
      <c r="L765" s="56"/>
      <c r="M765" s="56"/>
      <c r="N765" s="200"/>
    </row>
    <row r="766" spans="1:14" x14ac:dyDescent="0.35">
      <c r="A766" s="58"/>
      <c r="B766" s="56"/>
      <c r="C766" s="203"/>
      <c r="D766" s="203"/>
      <c r="E766" s="203"/>
      <c r="F766" s="203"/>
      <c r="G766" s="56"/>
      <c r="H766" s="203"/>
      <c r="I766" s="203"/>
      <c r="J766" s="56"/>
      <c r="K766" s="56"/>
      <c r="L766" s="56"/>
      <c r="M766" s="56"/>
      <c r="N766" s="200"/>
    </row>
    <row r="767" spans="1:14" x14ac:dyDescent="0.35">
      <c r="A767" s="58"/>
      <c r="B767" s="56"/>
      <c r="C767" s="203"/>
      <c r="D767" s="203"/>
      <c r="E767" s="203"/>
      <c r="F767" s="203"/>
      <c r="G767" s="56"/>
      <c r="H767" s="203"/>
      <c r="I767" s="203"/>
      <c r="J767" s="56"/>
      <c r="K767" s="56"/>
      <c r="L767" s="56"/>
      <c r="M767" s="56"/>
      <c r="N767" s="200"/>
    </row>
    <row r="768" spans="1:14" x14ac:dyDescent="0.35">
      <c r="A768" s="58"/>
      <c r="B768" s="56"/>
      <c r="C768" s="203"/>
      <c r="D768" s="203"/>
      <c r="E768" s="203"/>
      <c r="F768" s="203"/>
      <c r="G768" s="56"/>
      <c r="H768" s="203"/>
      <c r="I768" s="203"/>
      <c r="J768" s="56"/>
      <c r="K768" s="56"/>
      <c r="L768" s="56"/>
      <c r="M768" s="56"/>
      <c r="N768" s="200"/>
    </row>
    <row r="769" spans="1:14" x14ac:dyDescent="0.35">
      <c r="A769" s="58"/>
      <c r="B769" s="56"/>
      <c r="C769" s="203"/>
      <c r="D769" s="203"/>
      <c r="E769" s="203"/>
      <c r="F769" s="203"/>
      <c r="G769" s="56"/>
      <c r="H769" s="203"/>
      <c r="I769" s="203"/>
      <c r="J769" s="56"/>
      <c r="K769" s="56"/>
      <c r="L769" s="56"/>
      <c r="M769" s="56"/>
      <c r="N769" s="200"/>
    </row>
    <row r="770" spans="1:14" x14ac:dyDescent="0.35">
      <c r="A770" s="58"/>
      <c r="B770" s="56"/>
      <c r="C770" s="203"/>
      <c r="D770" s="203"/>
      <c r="E770" s="203"/>
      <c r="F770" s="203"/>
      <c r="G770" s="56"/>
      <c r="H770" s="203"/>
      <c r="I770" s="203"/>
      <c r="J770" s="56"/>
      <c r="K770" s="56"/>
      <c r="L770" s="56"/>
      <c r="M770" s="56"/>
      <c r="N770" s="200"/>
    </row>
    <row r="771" spans="1:14" x14ac:dyDescent="0.35">
      <c r="A771" s="58"/>
      <c r="B771" s="56"/>
      <c r="C771" s="203"/>
      <c r="D771" s="203"/>
      <c r="E771" s="203"/>
      <c r="F771" s="203"/>
      <c r="G771" s="56"/>
      <c r="H771" s="203"/>
      <c r="I771" s="203"/>
      <c r="J771" s="56"/>
      <c r="K771" s="56"/>
      <c r="L771" s="56"/>
      <c r="M771" s="56"/>
      <c r="N771" s="200"/>
    </row>
    <row r="772" spans="1:14" x14ac:dyDescent="0.35">
      <c r="A772" s="58"/>
      <c r="B772" s="56"/>
      <c r="C772" s="203"/>
      <c r="D772" s="203"/>
      <c r="E772" s="203"/>
      <c r="F772" s="203"/>
      <c r="G772" s="56"/>
      <c r="H772" s="203"/>
      <c r="I772" s="203"/>
      <c r="J772" s="56"/>
      <c r="K772" s="56"/>
      <c r="L772" s="56"/>
      <c r="M772" s="56"/>
      <c r="N772" s="200"/>
    </row>
    <row r="773" spans="1:14" x14ac:dyDescent="0.35">
      <c r="A773" s="58"/>
      <c r="B773" s="56"/>
      <c r="C773" s="203"/>
      <c r="D773" s="203"/>
      <c r="E773" s="203"/>
      <c r="F773" s="203"/>
      <c r="G773" s="56"/>
      <c r="H773" s="203"/>
      <c r="I773" s="203"/>
      <c r="J773" s="56"/>
      <c r="K773" s="56"/>
      <c r="L773" s="56"/>
      <c r="M773" s="56"/>
      <c r="N773" s="200"/>
    </row>
    <row r="774" spans="1:14" x14ac:dyDescent="0.35">
      <c r="A774" s="58"/>
      <c r="B774" s="56"/>
      <c r="C774" s="203"/>
      <c r="D774" s="203"/>
      <c r="E774" s="203"/>
      <c r="F774" s="203"/>
      <c r="G774" s="56"/>
      <c r="H774" s="203"/>
      <c r="I774" s="203"/>
      <c r="J774" s="56"/>
      <c r="K774" s="56"/>
      <c r="L774" s="56"/>
      <c r="M774" s="56"/>
      <c r="N774" s="200"/>
    </row>
    <row r="775" spans="1:14" x14ac:dyDescent="0.35">
      <c r="A775" s="58"/>
      <c r="B775" s="56"/>
      <c r="C775" s="203"/>
      <c r="D775" s="203"/>
      <c r="E775" s="203"/>
      <c r="F775" s="203"/>
      <c r="G775" s="56"/>
      <c r="H775" s="203"/>
      <c r="I775" s="203"/>
      <c r="J775" s="56"/>
      <c r="K775" s="56"/>
      <c r="L775" s="56"/>
      <c r="M775" s="56"/>
      <c r="N775" s="200"/>
    </row>
    <row r="776" spans="1:14" x14ac:dyDescent="0.35">
      <c r="A776" s="58"/>
      <c r="B776" s="56"/>
      <c r="C776" s="203"/>
      <c r="D776" s="203"/>
      <c r="E776" s="203"/>
      <c r="F776" s="203"/>
      <c r="G776" s="56"/>
      <c r="H776" s="203"/>
      <c r="I776" s="203"/>
      <c r="J776" s="56"/>
      <c r="K776" s="56"/>
      <c r="L776" s="56"/>
      <c r="M776" s="56"/>
      <c r="N776" s="200"/>
    </row>
    <row r="777" spans="1:14" x14ac:dyDescent="0.35">
      <c r="A777" s="58"/>
      <c r="B777" s="56"/>
      <c r="C777" s="203"/>
      <c r="D777" s="203"/>
      <c r="E777" s="203"/>
      <c r="F777" s="203"/>
      <c r="G777" s="56"/>
      <c r="H777" s="203"/>
      <c r="I777" s="203"/>
      <c r="J777" s="56"/>
      <c r="K777" s="56"/>
      <c r="L777" s="56"/>
      <c r="M777" s="56"/>
      <c r="N777" s="200"/>
    </row>
    <row r="778" spans="1:14" x14ac:dyDescent="0.35">
      <c r="A778" s="58"/>
      <c r="B778" s="56"/>
      <c r="C778" s="203"/>
      <c r="D778" s="203"/>
      <c r="E778" s="203"/>
      <c r="F778" s="203"/>
      <c r="G778" s="56"/>
      <c r="H778" s="203"/>
      <c r="I778" s="203"/>
      <c r="J778" s="56"/>
      <c r="K778" s="56"/>
      <c r="L778" s="56"/>
      <c r="M778" s="56"/>
      <c r="N778" s="200"/>
    </row>
    <row r="779" spans="1:14" x14ac:dyDescent="0.35">
      <c r="A779" s="58"/>
      <c r="B779" s="56"/>
      <c r="C779" s="203"/>
      <c r="D779" s="203"/>
      <c r="E779" s="203"/>
      <c r="F779" s="203"/>
      <c r="G779" s="56"/>
      <c r="H779" s="203"/>
      <c r="I779" s="203"/>
      <c r="J779" s="56"/>
      <c r="K779" s="56"/>
      <c r="L779" s="56"/>
      <c r="M779" s="56"/>
      <c r="N779" s="200"/>
    </row>
    <row r="780" spans="1:14" x14ac:dyDescent="0.35">
      <c r="A780" s="58"/>
      <c r="B780" s="56"/>
      <c r="C780" s="203"/>
      <c r="D780" s="203"/>
      <c r="E780" s="203"/>
      <c r="F780" s="203"/>
      <c r="G780" s="56"/>
      <c r="H780" s="203"/>
      <c r="I780" s="203"/>
      <c r="J780" s="56"/>
      <c r="K780" s="56"/>
      <c r="L780" s="56"/>
      <c r="M780" s="56"/>
      <c r="N780" s="200"/>
    </row>
    <row r="781" spans="1:14" x14ac:dyDescent="0.35">
      <c r="A781" s="58"/>
      <c r="B781" s="56"/>
      <c r="C781" s="203"/>
      <c r="D781" s="203"/>
      <c r="E781" s="203"/>
      <c r="F781" s="203"/>
      <c r="G781" s="56"/>
      <c r="H781" s="203"/>
      <c r="I781" s="203"/>
      <c r="J781" s="56"/>
      <c r="K781" s="56"/>
      <c r="L781" s="56"/>
      <c r="M781" s="56"/>
      <c r="N781" s="200"/>
    </row>
    <row r="782" spans="1:14" x14ac:dyDescent="0.35">
      <c r="A782" s="57"/>
      <c r="B782" s="57"/>
      <c r="C782" s="61"/>
      <c r="D782" s="61"/>
      <c r="E782" s="61"/>
      <c r="F782" s="61"/>
      <c r="G782" s="57"/>
      <c r="H782" s="61"/>
      <c r="I782" s="61"/>
      <c r="J782" s="61"/>
      <c r="K782" s="57"/>
      <c r="L782" s="57"/>
      <c r="M782" s="57"/>
      <c r="N782" s="199"/>
    </row>
    <row r="783" spans="1:14" x14ac:dyDescent="0.35">
      <c r="A783" s="57"/>
      <c r="B783" s="57"/>
      <c r="C783" s="61"/>
      <c r="D783" s="61"/>
      <c r="E783" s="61"/>
      <c r="F783" s="61"/>
      <c r="G783" s="57"/>
      <c r="H783" s="61"/>
      <c r="I783" s="61"/>
      <c r="J783" s="61"/>
      <c r="K783" s="57"/>
      <c r="L783" s="57"/>
      <c r="M783" s="57"/>
      <c r="N783" s="199"/>
    </row>
    <row r="784" spans="1:14" x14ac:dyDescent="0.35">
      <c r="A784" s="57"/>
      <c r="B784" s="57"/>
      <c r="C784" s="61"/>
      <c r="D784" s="61"/>
      <c r="E784" s="61"/>
      <c r="F784" s="61"/>
      <c r="G784" s="57"/>
      <c r="H784" s="61"/>
      <c r="I784" s="61"/>
      <c r="J784" s="61"/>
      <c r="K784" s="57"/>
      <c r="L784" s="57"/>
      <c r="M784" s="57"/>
      <c r="N784" s="199"/>
    </row>
    <row r="785" spans="1:14" x14ac:dyDescent="0.35">
      <c r="A785" s="57"/>
      <c r="B785" s="57"/>
      <c r="C785" s="61"/>
      <c r="D785" s="61"/>
      <c r="E785" s="61"/>
      <c r="F785" s="61"/>
      <c r="G785" s="57"/>
      <c r="H785" s="61"/>
      <c r="I785" s="61"/>
      <c r="J785" s="61"/>
      <c r="K785" s="57"/>
      <c r="L785" s="57"/>
      <c r="M785" s="57"/>
      <c r="N785" s="199"/>
    </row>
    <row r="786" spans="1:14" x14ac:dyDescent="0.35">
      <c r="A786" s="57"/>
      <c r="B786" s="57"/>
      <c r="C786" s="61"/>
      <c r="D786" s="61"/>
      <c r="E786" s="61"/>
      <c r="F786" s="61"/>
      <c r="G786" s="57"/>
      <c r="H786" s="61"/>
      <c r="I786" s="61"/>
      <c r="J786" s="61"/>
      <c r="K786" s="57"/>
      <c r="L786" s="57"/>
      <c r="M786" s="57"/>
      <c r="N786" s="199"/>
    </row>
    <row r="787" spans="1:14" x14ac:dyDescent="0.35">
      <c r="A787" s="57"/>
      <c r="B787" s="57"/>
      <c r="C787" s="61"/>
      <c r="D787" s="61"/>
      <c r="E787" s="61"/>
      <c r="F787" s="61"/>
      <c r="G787" s="57"/>
      <c r="H787" s="61"/>
      <c r="I787" s="61"/>
      <c r="J787" s="61"/>
      <c r="K787" s="57"/>
      <c r="L787" s="57"/>
      <c r="M787" s="57"/>
      <c r="N787" s="199"/>
    </row>
    <row r="788" spans="1:14" x14ac:dyDescent="0.35">
      <c r="A788" s="57"/>
      <c r="B788" s="57"/>
      <c r="C788" s="61"/>
      <c r="D788" s="61"/>
      <c r="E788" s="61"/>
      <c r="F788" s="61"/>
      <c r="G788" s="57"/>
      <c r="H788" s="61"/>
      <c r="I788" s="61"/>
      <c r="J788" s="61"/>
      <c r="K788" s="57"/>
      <c r="L788" s="57"/>
      <c r="M788" s="57"/>
      <c r="N788" s="199"/>
    </row>
    <row r="789" spans="1:14" x14ac:dyDescent="0.35">
      <c r="A789" s="57"/>
      <c r="B789" s="57"/>
      <c r="C789" s="61"/>
      <c r="D789" s="61"/>
      <c r="E789" s="61"/>
      <c r="F789" s="61"/>
      <c r="G789" s="57"/>
      <c r="H789" s="61"/>
      <c r="I789" s="61"/>
      <c r="J789" s="61"/>
      <c r="K789" s="57"/>
      <c r="L789" s="57"/>
      <c r="M789" s="57"/>
      <c r="N789" s="199"/>
    </row>
    <row r="790" spans="1:14" x14ac:dyDescent="0.35">
      <c r="A790" s="57"/>
      <c r="B790" s="57"/>
      <c r="C790" s="61"/>
      <c r="D790" s="61"/>
      <c r="E790" s="61"/>
      <c r="F790" s="61"/>
      <c r="G790" s="57"/>
      <c r="H790" s="61"/>
      <c r="I790" s="61"/>
      <c r="J790" s="61"/>
      <c r="K790" s="57"/>
      <c r="L790" s="57"/>
      <c r="M790" s="57"/>
      <c r="N790" s="199"/>
    </row>
    <row r="791" spans="1:14" x14ac:dyDescent="0.35">
      <c r="A791" s="57"/>
      <c r="B791" s="57"/>
      <c r="C791" s="61"/>
      <c r="D791" s="61"/>
      <c r="E791" s="61"/>
      <c r="F791" s="61"/>
      <c r="G791" s="57"/>
      <c r="H791" s="61"/>
      <c r="I791" s="61"/>
      <c r="J791" s="61"/>
      <c r="K791" s="57"/>
      <c r="L791" s="57"/>
      <c r="M791" s="57"/>
      <c r="N791" s="199"/>
    </row>
    <row r="792" spans="1:14" x14ac:dyDescent="0.35">
      <c r="A792" s="57"/>
      <c r="B792" s="57"/>
      <c r="C792" s="61"/>
      <c r="D792" s="61"/>
      <c r="E792" s="61"/>
      <c r="F792" s="61"/>
      <c r="G792" s="57"/>
      <c r="H792" s="61"/>
      <c r="I792" s="61"/>
      <c r="J792" s="61"/>
      <c r="K792" s="57"/>
      <c r="L792" s="57"/>
      <c r="M792" s="57"/>
      <c r="N792" s="199"/>
    </row>
    <row r="793" spans="1:14" x14ac:dyDescent="0.35">
      <c r="A793" s="57"/>
      <c r="B793" s="57"/>
      <c r="C793" s="61"/>
      <c r="D793" s="61"/>
      <c r="E793" s="61"/>
      <c r="F793" s="61"/>
      <c r="G793" s="57"/>
      <c r="H793" s="61"/>
      <c r="I793" s="61"/>
      <c r="J793" s="61"/>
      <c r="K793" s="57"/>
      <c r="L793" s="57"/>
      <c r="M793" s="57"/>
      <c r="N793" s="199"/>
    </row>
    <row r="794" spans="1:14" x14ac:dyDescent="0.35">
      <c r="A794" s="57"/>
      <c r="B794" s="57"/>
      <c r="C794" s="61"/>
      <c r="D794" s="61"/>
      <c r="E794" s="61"/>
      <c r="F794" s="61"/>
      <c r="G794" s="57"/>
      <c r="H794" s="61"/>
      <c r="I794" s="61"/>
      <c r="J794" s="61"/>
      <c r="K794" s="57"/>
      <c r="L794" s="57"/>
      <c r="M794" s="57"/>
      <c r="N794" s="199"/>
    </row>
    <row r="795" spans="1:14" x14ac:dyDescent="0.35">
      <c r="A795" s="57"/>
      <c r="B795" s="57"/>
      <c r="C795" s="61"/>
      <c r="D795" s="61"/>
      <c r="E795" s="61"/>
      <c r="F795" s="61"/>
      <c r="G795" s="57"/>
      <c r="H795" s="61"/>
      <c r="I795" s="61"/>
      <c r="J795" s="61"/>
      <c r="K795" s="57"/>
      <c r="L795" s="57"/>
      <c r="M795" s="57"/>
      <c r="N795" s="199"/>
    </row>
    <row r="796" spans="1:14" x14ac:dyDescent="0.35">
      <c r="A796" s="57"/>
      <c r="B796" s="57"/>
      <c r="C796" s="61"/>
      <c r="D796" s="61"/>
      <c r="E796" s="61"/>
      <c r="F796" s="61"/>
      <c r="G796" s="57"/>
      <c r="H796" s="61"/>
      <c r="I796" s="61"/>
      <c r="J796" s="61"/>
      <c r="K796" s="57"/>
      <c r="L796" s="57"/>
      <c r="M796" s="57"/>
      <c r="N796" s="199"/>
    </row>
    <row r="797" spans="1:14" x14ac:dyDescent="0.35">
      <c r="A797" s="57"/>
      <c r="B797" s="57"/>
      <c r="C797" s="61"/>
      <c r="D797" s="61"/>
      <c r="E797" s="61"/>
      <c r="F797" s="61"/>
      <c r="G797" s="57"/>
      <c r="H797" s="61"/>
      <c r="I797" s="61"/>
      <c r="J797" s="61"/>
      <c r="K797" s="57"/>
      <c r="L797" s="57"/>
      <c r="M797" s="57"/>
      <c r="N797" s="199"/>
    </row>
    <row r="798" spans="1:14" x14ac:dyDescent="0.35">
      <c r="A798" s="57"/>
      <c r="B798" s="57"/>
      <c r="C798" s="61"/>
      <c r="D798" s="61"/>
      <c r="E798" s="61"/>
      <c r="F798" s="61"/>
      <c r="G798" s="57"/>
      <c r="H798" s="61"/>
      <c r="I798" s="61"/>
      <c r="J798" s="61"/>
      <c r="K798" s="57"/>
      <c r="L798" s="57"/>
      <c r="M798" s="57"/>
      <c r="N798" s="199"/>
    </row>
    <row r="799" spans="1:14" x14ac:dyDescent="0.35">
      <c r="A799" s="57"/>
      <c r="B799" s="57"/>
      <c r="C799" s="61"/>
      <c r="D799" s="61"/>
      <c r="E799" s="61"/>
      <c r="F799" s="61"/>
      <c r="G799" s="57"/>
      <c r="H799" s="61"/>
      <c r="I799" s="61"/>
      <c r="J799" s="61"/>
      <c r="K799" s="57"/>
      <c r="L799" s="57"/>
      <c r="M799" s="57"/>
      <c r="N799" s="199"/>
    </row>
    <row r="800" spans="1:14" x14ac:dyDescent="0.35">
      <c r="A800" s="57"/>
      <c r="B800" s="57"/>
      <c r="C800" s="61"/>
      <c r="D800" s="61"/>
      <c r="E800" s="61"/>
      <c r="F800" s="61"/>
      <c r="G800" s="57"/>
      <c r="H800" s="61"/>
      <c r="I800" s="61"/>
      <c r="J800" s="61"/>
      <c r="K800" s="57"/>
      <c r="L800" s="57"/>
      <c r="M800" s="57"/>
      <c r="N800" s="199"/>
    </row>
    <row r="801" spans="1:14" x14ac:dyDescent="0.35">
      <c r="A801" s="57"/>
      <c r="B801" s="57"/>
      <c r="C801" s="61"/>
      <c r="D801" s="61"/>
      <c r="E801" s="61"/>
      <c r="F801" s="61"/>
      <c r="G801" s="57"/>
      <c r="H801" s="61"/>
      <c r="I801" s="61"/>
      <c r="J801" s="61"/>
      <c r="K801" s="57"/>
      <c r="L801" s="57"/>
      <c r="M801" s="57"/>
      <c r="N801" s="199"/>
    </row>
    <row r="802" spans="1:14" x14ac:dyDescent="0.35">
      <c r="A802" s="57"/>
      <c r="B802" s="57"/>
      <c r="C802" s="61"/>
      <c r="D802" s="61"/>
      <c r="E802" s="61"/>
      <c r="F802" s="61"/>
      <c r="G802" s="57"/>
      <c r="H802" s="61"/>
      <c r="I802" s="61"/>
      <c r="J802" s="61"/>
      <c r="K802" s="57"/>
      <c r="L802" s="57"/>
      <c r="M802" s="57"/>
      <c r="N802" s="199"/>
    </row>
    <row r="803" spans="1:14" x14ac:dyDescent="0.35">
      <c r="A803" s="57"/>
      <c r="B803" s="57"/>
      <c r="C803" s="61"/>
      <c r="D803" s="61"/>
      <c r="E803" s="61"/>
      <c r="F803" s="61"/>
      <c r="G803" s="57"/>
      <c r="H803" s="61"/>
      <c r="I803" s="61"/>
      <c r="J803" s="61"/>
      <c r="K803" s="57"/>
      <c r="L803" s="57"/>
      <c r="M803" s="57"/>
      <c r="N803" s="199"/>
    </row>
    <row r="804" spans="1:14" x14ac:dyDescent="0.35">
      <c r="A804" s="57"/>
      <c r="B804" s="57"/>
      <c r="C804" s="61"/>
      <c r="D804" s="61"/>
      <c r="E804" s="61"/>
      <c r="F804" s="61"/>
      <c r="G804" s="57"/>
      <c r="H804" s="61"/>
      <c r="I804" s="61"/>
      <c r="J804" s="61"/>
      <c r="K804" s="57"/>
      <c r="L804" s="57"/>
      <c r="M804" s="57"/>
      <c r="N804" s="199"/>
    </row>
    <row r="805" spans="1:14" x14ac:dyDescent="0.35">
      <c r="A805" s="57"/>
      <c r="B805" s="57"/>
      <c r="C805" s="61"/>
      <c r="D805" s="61"/>
      <c r="E805" s="61"/>
      <c r="F805" s="61"/>
      <c r="G805" s="57"/>
      <c r="H805" s="61"/>
      <c r="I805" s="61"/>
      <c r="J805" s="61"/>
      <c r="K805" s="57"/>
      <c r="L805" s="57"/>
      <c r="M805" s="57"/>
      <c r="N805" s="199"/>
    </row>
    <row r="806" spans="1:14" x14ac:dyDescent="0.35">
      <c r="A806" s="57"/>
      <c r="B806" s="57"/>
      <c r="C806" s="61"/>
      <c r="D806" s="61"/>
      <c r="E806" s="61"/>
      <c r="F806" s="61"/>
      <c r="G806" s="57"/>
      <c r="H806" s="61"/>
      <c r="I806" s="61"/>
      <c r="J806" s="61"/>
      <c r="K806" s="57"/>
      <c r="L806" s="57"/>
      <c r="M806" s="57"/>
      <c r="N806" s="199"/>
    </row>
    <row r="807" spans="1:14" x14ac:dyDescent="0.35">
      <c r="A807" s="57"/>
      <c r="B807" s="57"/>
      <c r="C807" s="61"/>
      <c r="D807" s="61"/>
      <c r="E807" s="61"/>
      <c r="F807" s="61"/>
      <c r="G807" s="57"/>
      <c r="H807" s="61"/>
      <c r="I807" s="61"/>
      <c r="J807" s="61"/>
      <c r="K807" s="57"/>
      <c r="L807" s="57"/>
      <c r="M807" s="57"/>
      <c r="N807" s="199"/>
    </row>
    <row r="808" spans="1:14" x14ac:dyDescent="0.35">
      <c r="A808" s="57"/>
      <c r="B808" s="57"/>
      <c r="C808" s="61"/>
      <c r="D808" s="61"/>
      <c r="E808" s="61"/>
      <c r="F808" s="61"/>
      <c r="G808" s="57"/>
      <c r="H808" s="61"/>
      <c r="I808" s="61"/>
      <c r="J808" s="61"/>
      <c r="K808" s="57"/>
      <c r="L808" s="57"/>
      <c r="M808" s="57"/>
      <c r="N808" s="199"/>
    </row>
    <row r="809" spans="1:14" x14ac:dyDescent="0.35">
      <c r="A809" s="57"/>
      <c r="B809" s="57"/>
      <c r="C809" s="61"/>
      <c r="D809" s="61"/>
      <c r="E809" s="61"/>
      <c r="F809" s="61"/>
      <c r="G809" s="57"/>
      <c r="H809" s="61"/>
      <c r="I809" s="61"/>
      <c r="J809" s="61"/>
      <c r="K809" s="57"/>
      <c r="L809" s="57"/>
      <c r="M809" s="57"/>
      <c r="N809" s="199"/>
    </row>
    <row r="810" spans="1:14" x14ac:dyDescent="0.35">
      <c r="A810" s="57"/>
      <c r="B810" s="57"/>
      <c r="C810" s="61"/>
      <c r="D810" s="61"/>
      <c r="E810" s="61"/>
      <c r="F810" s="61"/>
      <c r="G810" s="57"/>
      <c r="H810" s="61"/>
      <c r="I810" s="61"/>
      <c r="J810" s="61"/>
      <c r="K810" s="57"/>
      <c r="L810" s="57"/>
      <c r="M810" s="57"/>
      <c r="N810" s="199"/>
    </row>
    <row r="811" spans="1:14" x14ac:dyDescent="0.35">
      <c r="A811" s="57"/>
      <c r="B811" s="57"/>
      <c r="C811" s="61"/>
      <c r="D811" s="61"/>
      <c r="E811" s="61"/>
      <c r="F811" s="61"/>
      <c r="G811" s="57"/>
      <c r="H811" s="61"/>
      <c r="I811" s="61"/>
      <c r="J811" s="61"/>
      <c r="K811" s="57"/>
      <c r="L811" s="57"/>
      <c r="M811" s="57"/>
      <c r="N811" s="199"/>
    </row>
    <row r="812" spans="1:14" x14ac:dyDescent="0.35">
      <c r="A812" s="57"/>
      <c r="B812" s="57"/>
      <c r="C812" s="61"/>
      <c r="D812" s="61"/>
      <c r="E812" s="61"/>
      <c r="F812" s="61"/>
      <c r="G812" s="57"/>
      <c r="H812" s="61"/>
      <c r="I812" s="61"/>
      <c r="J812" s="61"/>
      <c r="K812" s="57"/>
      <c r="L812" s="57"/>
      <c r="M812" s="57"/>
      <c r="N812" s="199"/>
    </row>
    <row r="813" spans="1:14" x14ac:dyDescent="0.35">
      <c r="A813" s="57"/>
      <c r="B813" s="57"/>
      <c r="C813" s="61"/>
      <c r="D813" s="61"/>
      <c r="E813" s="61"/>
      <c r="F813" s="61"/>
      <c r="G813" s="57"/>
      <c r="H813" s="61"/>
      <c r="I813" s="61"/>
      <c r="J813" s="61"/>
      <c r="K813" s="57"/>
      <c r="L813" s="57"/>
      <c r="M813" s="57"/>
      <c r="N813" s="199"/>
    </row>
    <row r="814" spans="1:14" x14ac:dyDescent="0.35">
      <c r="A814" s="57"/>
      <c r="B814" s="57"/>
      <c r="C814" s="61"/>
      <c r="D814" s="61"/>
      <c r="E814" s="61"/>
      <c r="F814" s="61"/>
      <c r="G814" s="57"/>
      <c r="H814" s="61"/>
      <c r="I814" s="61"/>
      <c r="J814" s="61"/>
      <c r="K814" s="57"/>
      <c r="L814" s="57"/>
      <c r="M814" s="57"/>
      <c r="N814" s="199"/>
    </row>
    <row r="815" spans="1:14" x14ac:dyDescent="0.35">
      <c r="A815" s="57"/>
      <c r="B815" s="57"/>
      <c r="C815" s="61"/>
      <c r="D815" s="61"/>
      <c r="E815" s="61"/>
      <c r="F815" s="61"/>
      <c r="G815" s="57"/>
      <c r="H815" s="61"/>
      <c r="I815" s="61"/>
      <c r="J815" s="61"/>
      <c r="K815" s="57"/>
      <c r="L815" s="57"/>
      <c r="M815" s="57"/>
      <c r="N815" s="199"/>
    </row>
    <row r="816" spans="1:14" x14ac:dyDescent="0.35">
      <c r="A816" s="57"/>
      <c r="B816" s="57"/>
      <c r="C816" s="61"/>
      <c r="D816" s="61"/>
      <c r="E816" s="61"/>
      <c r="F816" s="61"/>
      <c r="G816" s="57"/>
      <c r="H816" s="61"/>
      <c r="I816" s="61"/>
      <c r="J816" s="61"/>
      <c r="K816" s="57"/>
      <c r="L816" s="57"/>
      <c r="M816" s="57"/>
      <c r="N816" s="199"/>
    </row>
    <row r="817" spans="1:14" x14ac:dyDescent="0.35">
      <c r="A817" s="57"/>
      <c r="B817" s="57"/>
      <c r="C817" s="61"/>
      <c r="D817" s="61"/>
      <c r="E817" s="61"/>
      <c r="F817" s="61"/>
      <c r="G817" s="57"/>
      <c r="H817" s="61"/>
      <c r="I817" s="61"/>
      <c r="J817" s="61"/>
      <c r="K817" s="57"/>
      <c r="L817" s="57"/>
      <c r="M817" s="57"/>
      <c r="N817" s="199"/>
    </row>
    <row r="818" spans="1:14" x14ac:dyDescent="0.35">
      <c r="A818" s="57"/>
      <c r="B818" s="57"/>
      <c r="C818" s="61"/>
      <c r="D818" s="61"/>
      <c r="E818" s="61"/>
      <c r="F818" s="61"/>
      <c r="G818" s="57"/>
      <c r="H818" s="61"/>
      <c r="I818" s="61"/>
      <c r="J818" s="61"/>
      <c r="K818" s="57"/>
      <c r="L818" s="57"/>
      <c r="M818" s="57"/>
      <c r="N818" s="199"/>
    </row>
    <row r="819" spans="1:14" x14ac:dyDescent="0.35">
      <c r="A819" s="57"/>
      <c r="B819" s="57"/>
      <c r="C819" s="61"/>
      <c r="D819" s="61"/>
      <c r="E819" s="61"/>
      <c r="F819" s="61"/>
      <c r="G819" s="57"/>
      <c r="H819" s="61"/>
      <c r="I819" s="61"/>
      <c r="J819" s="61"/>
      <c r="K819" s="57"/>
      <c r="L819" s="57"/>
      <c r="M819" s="57"/>
      <c r="N819" s="199"/>
    </row>
    <row r="820" spans="1:14" x14ac:dyDescent="0.35">
      <c r="A820" s="57"/>
      <c r="B820" s="57"/>
      <c r="C820" s="61"/>
      <c r="D820" s="61"/>
      <c r="E820" s="61"/>
      <c r="F820" s="61"/>
      <c r="G820" s="57"/>
      <c r="H820" s="61"/>
      <c r="I820" s="61"/>
      <c r="J820" s="61"/>
      <c r="K820" s="57"/>
      <c r="L820" s="57"/>
      <c r="M820" s="57"/>
      <c r="N820" s="199"/>
    </row>
    <row r="821" spans="1:14" x14ac:dyDescent="0.35">
      <c r="A821" s="57"/>
      <c r="B821" s="57"/>
      <c r="C821" s="61"/>
      <c r="D821" s="61"/>
      <c r="E821" s="61"/>
      <c r="F821" s="61"/>
      <c r="G821" s="57"/>
      <c r="H821" s="61"/>
      <c r="I821" s="61"/>
      <c r="J821" s="61"/>
      <c r="K821" s="57"/>
      <c r="L821" s="57"/>
      <c r="M821" s="57"/>
      <c r="N821" s="199"/>
    </row>
    <row r="822" spans="1:14" x14ac:dyDescent="0.35">
      <c r="A822" s="57"/>
      <c r="B822" s="57"/>
      <c r="C822" s="61"/>
      <c r="D822" s="61"/>
      <c r="E822" s="61"/>
      <c r="F822" s="61"/>
      <c r="G822" s="57"/>
      <c r="H822" s="61"/>
      <c r="I822" s="61"/>
      <c r="J822" s="61"/>
      <c r="K822" s="57"/>
      <c r="L822" s="57"/>
      <c r="M822" s="57"/>
      <c r="N822" s="199"/>
    </row>
    <row r="823" spans="1:14" x14ac:dyDescent="0.35">
      <c r="A823" s="57"/>
      <c r="B823" s="57"/>
      <c r="C823" s="61"/>
      <c r="D823" s="61"/>
      <c r="E823" s="61"/>
      <c r="F823" s="61"/>
      <c r="G823" s="57"/>
      <c r="H823" s="61"/>
      <c r="I823" s="61"/>
      <c r="J823" s="61"/>
      <c r="K823" s="57"/>
      <c r="L823" s="57"/>
      <c r="M823" s="57"/>
      <c r="N823" s="199"/>
    </row>
    <row r="824" spans="1:14" x14ac:dyDescent="0.35">
      <c r="A824" s="57"/>
      <c r="B824" s="57"/>
      <c r="C824" s="61"/>
      <c r="D824" s="61"/>
      <c r="E824" s="61"/>
      <c r="F824" s="61"/>
      <c r="G824" s="57"/>
      <c r="H824" s="61"/>
      <c r="I824" s="61"/>
      <c r="J824" s="61"/>
      <c r="K824" s="57"/>
      <c r="L824" s="57"/>
      <c r="M824" s="57"/>
      <c r="N824" s="199"/>
    </row>
    <row r="825" spans="1:14" x14ac:dyDescent="0.35">
      <c r="A825" s="57"/>
      <c r="B825" s="57"/>
      <c r="C825" s="61"/>
      <c r="D825" s="61"/>
      <c r="E825" s="61"/>
      <c r="F825" s="61"/>
      <c r="G825" s="57"/>
      <c r="H825" s="61"/>
      <c r="I825" s="61"/>
      <c r="J825" s="61"/>
      <c r="K825" s="57"/>
      <c r="L825" s="57"/>
      <c r="M825" s="57"/>
      <c r="N825" s="199"/>
    </row>
    <row r="826" spans="1:14" x14ac:dyDescent="0.35">
      <c r="A826" s="57"/>
      <c r="B826" s="57"/>
      <c r="C826" s="61"/>
      <c r="D826" s="61"/>
      <c r="E826" s="61"/>
      <c r="F826" s="61"/>
      <c r="G826" s="57"/>
      <c r="H826" s="61"/>
      <c r="I826" s="61"/>
      <c r="J826" s="61"/>
      <c r="K826" s="57"/>
      <c r="L826" s="57"/>
      <c r="M826" s="57"/>
      <c r="N826" s="199"/>
    </row>
    <row r="827" spans="1:14" x14ac:dyDescent="0.35">
      <c r="A827" s="57"/>
      <c r="B827" s="57"/>
      <c r="C827" s="61"/>
      <c r="D827" s="61"/>
      <c r="E827" s="61"/>
      <c r="F827" s="61"/>
      <c r="G827" s="57"/>
      <c r="H827" s="61"/>
      <c r="I827" s="61"/>
      <c r="J827" s="61"/>
      <c r="K827" s="57"/>
      <c r="L827" s="57"/>
      <c r="M827" s="57"/>
      <c r="N827" s="199"/>
    </row>
    <row r="828" spans="1:14" x14ac:dyDescent="0.35">
      <c r="A828" s="57"/>
      <c r="B828" s="57"/>
      <c r="C828" s="61"/>
      <c r="D828" s="61"/>
      <c r="E828" s="61"/>
      <c r="F828" s="61"/>
      <c r="G828" s="57"/>
      <c r="H828" s="61"/>
      <c r="I828" s="61"/>
      <c r="J828" s="61"/>
      <c r="K828" s="57"/>
      <c r="L828" s="57"/>
      <c r="M828" s="57"/>
      <c r="N828" s="199"/>
    </row>
    <row r="829" spans="1:14" x14ac:dyDescent="0.35">
      <c r="A829" s="57"/>
      <c r="B829" s="57"/>
      <c r="C829" s="61"/>
      <c r="D829" s="61"/>
      <c r="E829" s="61"/>
      <c r="F829" s="61"/>
      <c r="G829" s="57"/>
      <c r="H829" s="61"/>
      <c r="I829" s="61"/>
      <c r="J829" s="61"/>
      <c r="K829" s="57"/>
      <c r="L829" s="57"/>
      <c r="M829" s="57"/>
      <c r="N829" s="199"/>
    </row>
    <row r="830" spans="1:14" x14ac:dyDescent="0.35">
      <c r="A830" s="57"/>
      <c r="B830" s="57"/>
      <c r="C830" s="61"/>
      <c r="D830" s="61"/>
      <c r="E830" s="61"/>
      <c r="F830" s="61"/>
      <c r="G830" s="57"/>
      <c r="H830" s="61"/>
      <c r="I830" s="61"/>
      <c r="J830" s="61"/>
      <c r="K830" s="57"/>
      <c r="L830" s="57"/>
      <c r="M830" s="57"/>
      <c r="N830" s="199"/>
    </row>
    <row r="831" spans="1:14" x14ac:dyDescent="0.35">
      <c r="A831" s="57"/>
      <c r="B831" s="57"/>
      <c r="C831" s="61"/>
      <c r="D831" s="61"/>
      <c r="E831" s="61"/>
      <c r="F831" s="61"/>
      <c r="G831" s="57"/>
      <c r="H831" s="61"/>
      <c r="I831" s="61"/>
      <c r="J831" s="61"/>
      <c r="K831" s="57"/>
      <c r="L831" s="57"/>
      <c r="M831" s="57"/>
      <c r="N831" s="199"/>
    </row>
    <row r="832" spans="1:14" x14ac:dyDescent="0.35">
      <c r="A832" s="57"/>
      <c r="B832" s="57"/>
      <c r="C832" s="61"/>
      <c r="D832" s="61"/>
      <c r="E832" s="61"/>
      <c r="F832" s="61"/>
      <c r="G832" s="57"/>
      <c r="H832" s="61"/>
      <c r="I832" s="61"/>
      <c r="J832" s="61"/>
      <c r="K832" s="57"/>
      <c r="L832" s="57"/>
      <c r="M832" s="57"/>
      <c r="N832" s="199"/>
    </row>
    <row r="833" spans="1:14" x14ac:dyDescent="0.35">
      <c r="A833" s="57"/>
      <c r="B833" s="57"/>
      <c r="C833" s="61"/>
      <c r="D833" s="61"/>
      <c r="E833" s="61"/>
      <c r="F833" s="61"/>
      <c r="G833" s="57"/>
      <c r="H833" s="61"/>
      <c r="I833" s="61"/>
      <c r="J833" s="61"/>
      <c r="K833" s="57"/>
      <c r="L833" s="57"/>
      <c r="M833" s="57"/>
      <c r="N833" s="199"/>
    </row>
    <row r="834" spans="1:14" x14ac:dyDescent="0.35">
      <c r="A834" s="57"/>
      <c r="B834" s="57"/>
      <c r="C834" s="61"/>
      <c r="D834" s="61"/>
      <c r="E834" s="61"/>
      <c r="F834" s="61"/>
      <c r="G834" s="57"/>
      <c r="H834" s="61"/>
      <c r="I834" s="61"/>
      <c r="J834" s="61"/>
      <c r="K834" s="57"/>
      <c r="L834" s="57"/>
      <c r="M834" s="57"/>
      <c r="N834" s="199"/>
    </row>
    <row r="835" spans="1:14" x14ac:dyDescent="0.35">
      <c r="A835" s="57"/>
      <c r="B835" s="57"/>
      <c r="C835" s="61"/>
      <c r="D835" s="61"/>
      <c r="E835" s="61"/>
      <c r="F835" s="61"/>
      <c r="G835" s="57"/>
      <c r="H835" s="61"/>
      <c r="I835" s="61"/>
      <c r="J835" s="61"/>
      <c r="K835" s="57"/>
      <c r="L835" s="57"/>
      <c r="M835" s="57"/>
      <c r="N835" s="199"/>
    </row>
    <row r="836" spans="1:14" x14ac:dyDescent="0.35">
      <c r="A836" s="57"/>
      <c r="B836" s="57"/>
      <c r="C836" s="61"/>
      <c r="D836" s="61"/>
      <c r="E836" s="61"/>
      <c r="F836" s="61"/>
      <c r="G836" s="57"/>
      <c r="H836" s="61"/>
      <c r="I836" s="61"/>
      <c r="J836" s="61"/>
      <c r="K836" s="57"/>
      <c r="L836" s="57"/>
      <c r="M836" s="57"/>
      <c r="N836" s="199"/>
    </row>
    <row r="837" spans="1:14" x14ac:dyDescent="0.35">
      <c r="A837" s="57"/>
      <c r="B837" s="57"/>
      <c r="C837" s="61"/>
      <c r="D837" s="61"/>
      <c r="E837" s="61"/>
      <c r="F837" s="61"/>
      <c r="G837" s="57"/>
      <c r="H837" s="61"/>
      <c r="I837" s="61"/>
      <c r="J837" s="61"/>
      <c r="K837" s="57"/>
      <c r="L837" s="57"/>
      <c r="M837" s="57"/>
      <c r="N837" s="199"/>
    </row>
    <row r="838" spans="1:14" x14ac:dyDescent="0.35">
      <c r="A838" s="57"/>
      <c r="B838" s="57"/>
      <c r="C838" s="61"/>
      <c r="D838" s="61"/>
      <c r="E838" s="61"/>
      <c r="F838" s="61"/>
      <c r="G838" s="57"/>
      <c r="H838" s="61"/>
      <c r="I838" s="61"/>
      <c r="J838" s="61"/>
      <c r="K838" s="57"/>
      <c r="L838" s="57"/>
      <c r="M838" s="57"/>
      <c r="N838" s="199"/>
    </row>
    <row r="839" spans="1:14" x14ac:dyDescent="0.35">
      <c r="A839" s="57"/>
      <c r="B839" s="57"/>
      <c r="C839" s="61"/>
      <c r="D839" s="61"/>
      <c r="E839" s="61"/>
      <c r="F839" s="61"/>
      <c r="G839" s="57"/>
      <c r="H839" s="61"/>
      <c r="I839" s="61"/>
      <c r="J839" s="61"/>
      <c r="K839" s="57"/>
      <c r="L839" s="57"/>
      <c r="M839" s="57"/>
      <c r="N839" s="199"/>
    </row>
    <row r="840" spans="1:14" x14ac:dyDescent="0.35">
      <c r="A840" s="57"/>
      <c r="B840" s="57"/>
      <c r="C840" s="61"/>
      <c r="D840" s="61"/>
      <c r="E840" s="61"/>
      <c r="F840" s="61"/>
      <c r="G840" s="57"/>
      <c r="H840" s="61"/>
      <c r="I840" s="61"/>
      <c r="J840" s="61"/>
      <c r="K840" s="57"/>
      <c r="L840" s="57"/>
      <c r="M840" s="57"/>
      <c r="N840" s="199"/>
    </row>
    <row r="841" spans="1:14" x14ac:dyDescent="0.35">
      <c r="A841" s="57"/>
      <c r="B841" s="57"/>
      <c r="C841" s="61"/>
      <c r="D841" s="61"/>
      <c r="E841" s="61"/>
      <c r="F841" s="61"/>
      <c r="G841" s="57"/>
      <c r="H841" s="61"/>
      <c r="I841" s="61"/>
      <c r="J841" s="61"/>
      <c r="K841" s="57"/>
      <c r="L841" s="57"/>
      <c r="M841" s="57"/>
      <c r="N841" s="199"/>
    </row>
    <row r="842" spans="1:14" x14ac:dyDescent="0.35">
      <c r="A842" s="57"/>
      <c r="B842" s="57"/>
      <c r="C842" s="61"/>
      <c r="D842" s="61"/>
      <c r="E842" s="61"/>
      <c r="F842" s="61"/>
      <c r="G842" s="57"/>
      <c r="H842" s="61"/>
      <c r="I842" s="61"/>
      <c r="J842" s="61"/>
      <c r="K842" s="57"/>
      <c r="L842" s="57"/>
      <c r="M842" s="57"/>
      <c r="N842" s="199"/>
    </row>
    <row r="843" spans="1:14" x14ac:dyDescent="0.35">
      <c r="A843" s="57"/>
      <c r="B843" s="57"/>
      <c r="C843" s="61"/>
      <c r="D843" s="61"/>
      <c r="E843" s="61"/>
      <c r="F843" s="61"/>
      <c r="G843" s="57"/>
      <c r="H843" s="61"/>
      <c r="I843" s="61"/>
      <c r="J843" s="61"/>
      <c r="K843" s="57"/>
      <c r="L843" s="57"/>
      <c r="M843" s="57"/>
      <c r="N843" s="199"/>
    </row>
    <row r="844" spans="1:14" x14ac:dyDescent="0.35">
      <c r="A844" s="57"/>
      <c r="B844" s="57"/>
      <c r="C844" s="61"/>
      <c r="D844" s="61"/>
      <c r="E844" s="61"/>
      <c r="F844" s="61"/>
      <c r="G844" s="57"/>
      <c r="H844" s="61"/>
      <c r="I844" s="61"/>
      <c r="J844" s="61"/>
      <c r="K844" s="57"/>
      <c r="L844" s="57"/>
      <c r="M844" s="57"/>
      <c r="N844" s="199"/>
    </row>
    <row r="845" spans="1:14" x14ac:dyDescent="0.35">
      <c r="A845" s="57"/>
      <c r="B845" s="57"/>
      <c r="C845" s="61"/>
      <c r="D845" s="61"/>
      <c r="E845" s="61"/>
      <c r="F845" s="61"/>
      <c r="G845" s="57"/>
      <c r="H845" s="61"/>
      <c r="I845" s="61"/>
      <c r="J845" s="61"/>
      <c r="K845" s="57"/>
      <c r="L845" s="57"/>
      <c r="M845" s="57"/>
      <c r="N845" s="199"/>
    </row>
    <row r="846" spans="1:14" x14ac:dyDescent="0.35">
      <c r="A846" s="57"/>
      <c r="B846" s="57"/>
      <c r="C846" s="61"/>
      <c r="D846" s="61"/>
      <c r="E846" s="61"/>
      <c r="F846" s="61"/>
      <c r="G846" s="57"/>
      <c r="H846" s="61"/>
      <c r="I846" s="61"/>
      <c r="J846" s="61"/>
      <c r="K846" s="57"/>
      <c r="L846" s="57"/>
      <c r="M846" s="57"/>
      <c r="N846" s="199"/>
    </row>
    <row r="847" spans="1:14" x14ac:dyDescent="0.35">
      <c r="A847" s="57"/>
      <c r="B847" s="57"/>
      <c r="C847" s="61"/>
      <c r="D847" s="61"/>
      <c r="E847" s="61"/>
      <c r="F847" s="61"/>
      <c r="G847" s="57"/>
      <c r="H847" s="61"/>
      <c r="I847" s="61"/>
      <c r="J847" s="61"/>
      <c r="K847" s="57"/>
      <c r="L847" s="57"/>
      <c r="M847" s="57"/>
      <c r="N847" s="199"/>
    </row>
    <row r="848" spans="1:14" x14ac:dyDescent="0.35">
      <c r="A848" s="57"/>
      <c r="B848" s="57"/>
      <c r="C848" s="61"/>
      <c r="D848" s="61"/>
      <c r="E848" s="61"/>
      <c r="F848" s="61"/>
      <c r="G848" s="57"/>
      <c r="H848" s="61"/>
      <c r="I848" s="61"/>
      <c r="J848" s="61"/>
      <c r="K848" s="57"/>
      <c r="L848" s="57"/>
      <c r="M848" s="57"/>
      <c r="N848" s="199"/>
    </row>
    <row r="849" spans="1:14" x14ac:dyDescent="0.35">
      <c r="A849" s="57"/>
      <c r="B849" s="57"/>
      <c r="C849" s="61"/>
      <c r="D849" s="61"/>
      <c r="E849" s="61"/>
      <c r="F849" s="61"/>
      <c r="G849" s="57"/>
      <c r="H849" s="61"/>
      <c r="I849" s="61"/>
      <c r="J849" s="61"/>
      <c r="K849" s="57"/>
      <c r="L849" s="57"/>
      <c r="M849" s="57"/>
      <c r="N849" s="199"/>
    </row>
    <row r="850" spans="1:14" x14ac:dyDescent="0.35">
      <c r="A850" s="57"/>
      <c r="B850" s="57"/>
      <c r="C850" s="61"/>
      <c r="D850" s="61"/>
      <c r="E850" s="61"/>
      <c r="F850" s="61"/>
      <c r="G850" s="57"/>
      <c r="H850" s="61"/>
      <c r="I850" s="61"/>
      <c r="J850" s="61"/>
      <c r="K850" s="57"/>
      <c r="L850" s="57"/>
      <c r="M850" s="57"/>
      <c r="N850" s="199"/>
    </row>
    <row r="851" spans="1:14" x14ac:dyDescent="0.35">
      <c r="A851" s="57"/>
      <c r="B851" s="57"/>
      <c r="C851" s="61"/>
      <c r="D851" s="61"/>
      <c r="E851" s="61"/>
      <c r="F851" s="61"/>
      <c r="G851" s="57"/>
      <c r="H851" s="61"/>
      <c r="I851" s="61"/>
      <c r="J851" s="61"/>
      <c r="K851" s="57"/>
      <c r="L851" s="57"/>
      <c r="M851" s="57"/>
      <c r="N851" s="199"/>
    </row>
    <row r="852" spans="1:14" x14ac:dyDescent="0.35">
      <c r="A852" s="57"/>
      <c r="B852" s="57"/>
      <c r="C852" s="61"/>
      <c r="D852" s="61"/>
      <c r="E852" s="61"/>
      <c r="F852" s="61"/>
      <c r="G852" s="57"/>
      <c r="H852" s="61"/>
      <c r="I852" s="61"/>
      <c r="J852" s="61"/>
      <c r="K852" s="57"/>
      <c r="L852" s="57"/>
      <c r="M852" s="57"/>
      <c r="N852" s="199"/>
    </row>
    <row r="853" spans="1:14" x14ac:dyDescent="0.35">
      <c r="A853" s="57"/>
      <c r="B853" s="57"/>
      <c r="C853" s="61"/>
      <c r="D853" s="61"/>
      <c r="E853" s="61"/>
      <c r="F853" s="61"/>
      <c r="G853" s="57"/>
      <c r="H853" s="61"/>
      <c r="I853" s="61"/>
      <c r="J853" s="61"/>
      <c r="K853" s="57"/>
      <c r="L853" s="57"/>
      <c r="M853" s="57"/>
      <c r="N853" s="199"/>
    </row>
    <row r="854" spans="1:14" x14ac:dyDescent="0.35">
      <c r="A854" s="57"/>
      <c r="B854" s="57"/>
      <c r="C854" s="61"/>
      <c r="D854" s="61"/>
      <c r="E854" s="61"/>
      <c r="F854" s="61"/>
      <c r="G854" s="57"/>
      <c r="H854" s="61"/>
      <c r="I854" s="61"/>
      <c r="J854" s="61"/>
      <c r="K854" s="57"/>
      <c r="L854" s="57"/>
      <c r="M854" s="57"/>
      <c r="N854" s="199"/>
    </row>
    <row r="855" spans="1:14" x14ac:dyDescent="0.35">
      <c r="A855" s="57"/>
      <c r="B855" s="57"/>
      <c r="C855" s="61"/>
      <c r="D855" s="61"/>
      <c r="E855" s="61"/>
      <c r="F855" s="61"/>
      <c r="G855" s="57"/>
      <c r="H855" s="61"/>
      <c r="I855" s="61"/>
      <c r="J855" s="61"/>
      <c r="K855" s="57"/>
      <c r="L855" s="57"/>
      <c r="M855" s="57"/>
      <c r="N855" s="199"/>
    </row>
    <row r="856" spans="1:14" x14ac:dyDescent="0.35">
      <c r="A856" s="57"/>
      <c r="B856" s="57"/>
      <c r="C856" s="61"/>
      <c r="D856" s="61"/>
      <c r="E856" s="61"/>
      <c r="F856" s="61"/>
      <c r="G856" s="57"/>
      <c r="H856" s="61"/>
      <c r="I856" s="61"/>
      <c r="J856" s="61"/>
      <c r="K856" s="57"/>
      <c r="L856" s="57"/>
      <c r="M856" s="57"/>
      <c r="N856" s="199"/>
    </row>
    <row r="857" spans="1:14" x14ac:dyDescent="0.35">
      <c r="A857" s="57"/>
      <c r="B857" s="57"/>
      <c r="C857" s="61"/>
      <c r="D857" s="61"/>
      <c r="E857" s="61"/>
      <c r="F857" s="61"/>
      <c r="G857" s="57"/>
      <c r="H857" s="61"/>
      <c r="I857" s="61"/>
      <c r="J857" s="61"/>
      <c r="K857" s="57"/>
      <c r="L857" s="57"/>
      <c r="M857" s="57"/>
      <c r="N857" s="199"/>
    </row>
    <row r="858" spans="1:14" x14ac:dyDescent="0.35">
      <c r="A858" s="57"/>
      <c r="B858" s="57"/>
      <c r="C858" s="61"/>
      <c r="D858" s="61"/>
      <c r="E858" s="61"/>
      <c r="F858" s="61"/>
      <c r="G858" s="57"/>
      <c r="H858" s="61"/>
      <c r="I858" s="61"/>
      <c r="J858" s="61"/>
      <c r="K858" s="57"/>
      <c r="L858" s="57"/>
      <c r="M858" s="57"/>
      <c r="N858" s="199"/>
    </row>
    <row r="859" spans="1:14" x14ac:dyDescent="0.35">
      <c r="A859" s="57"/>
      <c r="B859" s="57"/>
      <c r="C859" s="61"/>
      <c r="D859" s="61"/>
      <c r="E859" s="61"/>
      <c r="F859" s="61"/>
      <c r="G859" s="57"/>
      <c r="H859" s="61"/>
      <c r="I859" s="61"/>
      <c r="J859" s="61"/>
      <c r="K859" s="57"/>
      <c r="L859" s="57"/>
      <c r="M859" s="57"/>
      <c r="N859" s="199"/>
    </row>
    <row r="860" spans="1:14" x14ac:dyDescent="0.35">
      <c r="A860" s="57"/>
      <c r="B860" s="57"/>
      <c r="C860" s="61"/>
      <c r="D860" s="61"/>
      <c r="E860" s="61"/>
      <c r="F860" s="61"/>
      <c r="G860" s="57"/>
      <c r="H860" s="61"/>
      <c r="I860" s="61"/>
      <c r="J860" s="61"/>
      <c r="K860" s="57"/>
      <c r="L860" s="57"/>
      <c r="M860" s="57"/>
      <c r="N860" s="199"/>
    </row>
    <row r="861" spans="1:14" x14ac:dyDescent="0.35">
      <c r="A861" s="57"/>
      <c r="B861" s="57"/>
      <c r="C861" s="61"/>
      <c r="D861" s="61"/>
      <c r="E861" s="61"/>
      <c r="F861" s="61"/>
      <c r="G861" s="57"/>
      <c r="H861" s="61"/>
      <c r="I861" s="61"/>
      <c r="J861" s="61"/>
      <c r="K861" s="57"/>
      <c r="L861" s="57"/>
      <c r="M861" s="57"/>
      <c r="N861" s="199"/>
    </row>
    <row r="862" spans="1:14" x14ac:dyDescent="0.35">
      <c r="A862" s="57"/>
      <c r="B862" s="57"/>
      <c r="C862" s="61"/>
      <c r="D862" s="61"/>
      <c r="E862" s="61"/>
      <c r="F862" s="61"/>
      <c r="G862" s="57"/>
      <c r="H862" s="61"/>
      <c r="I862" s="61"/>
      <c r="J862" s="61"/>
      <c r="K862" s="57"/>
      <c r="L862" s="57"/>
      <c r="M862" s="57"/>
      <c r="N862" s="199"/>
    </row>
    <row r="863" spans="1:14" x14ac:dyDescent="0.35">
      <c r="A863" s="57"/>
      <c r="B863" s="57"/>
      <c r="C863" s="61"/>
      <c r="D863" s="61"/>
      <c r="E863" s="61"/>
      <c r="F863" s="61"/>
      <c r="G863" s="57"/>
      <c r="H863" s="61"/>
      <c r="I863" s="61"/>
      <c r="J863" s="61"/>
      <c r="K863" s="57"/>
      <c r="L863" s="57"/>
      <c r="M863" s="57"/>
      <c r="N863" s="199"/>
    </row>
    <row r="864" spans="1:14" x14ac:dyDescent="0.35">
      <c r="A864" s="57"/>
      <c r="B864" s="57"/>
      <c r="C864" s="61"/>
      <c r="D864" s="61"/>
      <c r="E864" s="61"/>
      <c r="F864" s="61"/>
      <c r="G864" s="57"/>
      <c r="H864" s="61"/>
      <c r="I864" s="61"/>
      <c r="J864" s="61"/>
      <c r="K864" s="57"/>
      <c r="L864" s="57"/>
      <c r="M864" s="57"/>
      <c r="N864" s="199"/>
    </row>
    <row r="865" spans="1:14" x14ac:dyDescent="0.35">
      <c r="A865" s="57"/>
      <c r="B865" s="57"/>
      <c r="C865" s="61"/>
      <c r="D865" s="61"/>
      <c r="E865" s="61"/>
      <c r="F865" s="61"/>
      <c r="G865" s="57"/>
      <c r="H865" s="61"/>
      <c r="I865" s="61"/>
      <c r="J865" s="61"/>
      <c r="K865" s="57"/>
      <c r="L865" s="57"/>
      <c r="M865" s="57"/>
      <c r="N865" s="199"/>
    </row>
    <row r="866" spans="1:14" x14ac:dyDescent="0.35">
      <c r="A866" s="57"/>
      <c r="B866" s="57"/>
      <c r="C866" s="61"/>
      <c r="D866" s="61"/>
      <c r="E866" s="61"/>
      <c r="F866" s="61"/>
      <c r="G866" s="57"/>
      <c r="H866" s="61"/>
      <c r="I866" s="61"/>
      <c r="J866" s="61"/>
      <c r="K866" s="57"/>
      <c r="L866" s="57"/>
      <c r="M866" s="57"/>
      <c r="N866" s="199"/>
    </row>
    <row r="867" spans="1:14" x14ac:dyDescent="0.35">
      <c r="A867" s="57"/>
      <c r="B867" s="57"/>
      <c r="C867" s="61"/>
      <c r="D867" s="61"/>
      <c r="E867" s="61"/>
      <c r="F867" s="61"/>
      <c r="G867" s="57"/>
      <c r="H867" s="61"/>
      <c r="I867" s="61"/>
      <c r="J867" s="61"/>
      <c r="K867" s="57"/>
      <c r="L867" s="57"/>
      <c r="M867" s="57"/>
      <c r="N867" s="199"/>
    </row>
    <row r="868" spans="1:14" x14ac:dyDescent="0.35">
      <c r="A868" s="57"/>
      <c r="B868" s="57"/>
      <c r="C868" s="61"/>
      <c r="D868" s="61"/>
      <c r="E868" s="61"/>
      <c r="F868" s="61"/>
      <c r="G868" s="57"/>
      <c r="H868" s="61"/>
      <c r="I868" s="61"/>
      <c r="J868" s="61"/>
      <c r="K868" s="57"/>
      <c r="L868" s="57"/>
      <c r="M868" s="57"/>
      <c r="N868" s="199"/>
    </row>
    <row r="869" spans="1:14" x14ac:dyDescent="0.35">
      <c r="A869" s="57"/>
      <c r="B869" s="57"/>
      <c r="C869" s="61"/>
      <c r="D869" s="61"/>
      <c r="E869" s="61"/>
      <c r="F869" s="61"/>
      <c r="G869" s="57"/>
      <c r="H869" s="61"/>
      <c r="I869" s="61"/>
      <c r="J869" s="61"/>
      <c r="K869" s="57"/>
      <c r="L869" s="57"/>
      <c r="M869" s="57"/>
      <c r="N869" s="199"/>
    </row>
    <row r="870" spans="1:14" x14ac:dyDescent="0.35">
      <c r="A870" s="57"/>
      <c r="B870" s="57"/>
      <c r="C870" s="61"/>
      <c r="D870" s="61"/>
      <c r="E870" s="61"/>
      <c r="F870" s="61"/>
      <c r="G870" s="57"/>
      <c r="H870" s="61"/>
      <c r="I870" s="61"/>
      <c r="J870" s="61"/>
      <c r="K870" s="57"/>
      <c r="L870" s="57"/>
      <c r="M870" s="57"/>
      <c r="N870" s="199"/>
    </row>
    <row r="871" spans="1:14" x14ac:dyDescent="0.35">
      <c r="A871" s="57"/>
      <c r="B871" s="57"/>
      <c r="C871" s="61"/>
      <c r="D871" s="61"/>
      <c r="E871" s="61"/>
      <c r="F871" s="61"/>
      <c r="G871" s="57"/>
      <c r="H871" s="61"/>
      <c r="I871" s="61"/>
      <c r="J871" s="61"/>
      <c r="K871" s="57"/>
      <c r="L871" s="57"/>
      <c r="M871" s="57"/>
      <c r="N871" s="199"/>
    </row>
    <row r="872" spans="1:14" x14ac:dyDescent="0.35">
      <c r="A872" s="57"/>
      <c r="B872" s="57"/>
      <c r="C872" s="61"/>
      <c r="D872" s="61"/>
      <c r="E872" s="61"/>
      <c r="F872" s="61"/>
      <c r="G872" s="57"/>
      <c r="H872" s="61"/>
      <c r="I872" s="61"/>
      <c r="J872" s="61"/>
      <c r="K872" s="57"/>
      <c r="L872" s="57"/>
      <c r="M872" s="57"/>
      <c r="N872" s="199"/>
    </row>
    <row r="873" spans="1:14" x14ac:dyDescent="0.35">
      <c r="A873" s="57"/>
      <c r="B873" s="57"/>
      <c r="C873" s="61"/>
      <c r="D873" s="61"/>
      <c r="E873" s="61"/>
      <c r="F873" s="61"/>
      <c r="G873" s="57"/>
      <c r="H873" s="61"/>
      <c r="I873" s="61"/>
      <c r="J873" s="61"/>
      <c r="K873" s="57"/>
      <c r="L873" s="57"/>
      <c r="M873" s="57"/>
      <c r="N873" s="199"/>
    </row>
    <row r="874" spans="1:14" x14ac:dyDescent="0.35">
      <c r="A874" s="57"/>
      <c r="B874" s="57"/>
      <c r="C874" s="61"/>
      <c r="D874" s="61"/>
      <c r="E874" s="61"/>
      <c r="F874" s="61"/>
      <c r="G874" s="57"/>
      <c r="H874" s="61"/>
      <c r="I874" s="61"/>
      <c r="J874" s="61"/>
      <c r="K874" s="57"/>
      <c r="L874" s="57"/>
      <c r="M874" s="57"/>
      <c r="N874" s="199"/>
    </row>
    <row r="875" spans="1:14" x14ac:dyDescent="0.35">
      <c r="A875" s="57"/>
      <c r="B875" s="57"/>
      <c r="C875" s="61"/>
      <c r="D875" s="61"/>
      <c r="E875" s="61"/>
      <c r="F875" s="61"/>
      <c r="G875" s="57"/>
      <c r="H875" s="61"/>
      <c r="I875" s="61"/>
      <c r="J875" s="61"/>
      <c r="K875" s="57"/>
      <c r="L875" s="57"/>
      <c r="M875" s="57"/>
      <c r="N875" s="199"/>
    </row>
    <row r="876" spans="1:14" x14ac:dyDescent="0.35">
      <c r="A876" s="57"/>
      <c r="B876" s="57"/>
      <c r="C876" s="61"/>
      <c r="D876" s="61"/>
      <c r="E876" s="61"/>
      <c r="F876" s="61"/>
      <c r="G876" s="57"/>
      <c r="H876" s="61"/>
      <c r="I876" s="61"/>
      <c r="J876" s="61"/>
      <c r="K876" s="57"/>
      <c r="L876" s="57"/>
      <c r="M876" s="57"/>
      <c r="N876" s="199"/>
    </row>
    <row r="877" spans="1:14" x14ac:dyDescent="0.35">
      <c r="A877" s="57"/>
      <c r="B877" s="57"/>
      <c r="C877" s="61"/>
      <c r="D877" s="61"/>
      <c r="E877" s="61"/>
      <c r="F877" s="61"/>
      <c r="G877" s="57"/>
      <c r="H877" s="61"/>
      <c r="I877" s="61"/>
      <c r="J877" s="61"/>
      <c r="K877" s="57"/>
      <c r="L877" s="57"/>
      <c r="M877" s="57"/>
      <c r="N877" s="199"/>
    </row>
    <row r="878" spans="1:14" x14ac:dyDescent="0.35">
      <c r="A878" s="57"/>
      <c r="B878" s="57"/>
      <c r="C878" s="61"/>
      <c r="D878" s="61"/>
      <c r="E878" s="61"/>
      <c r="F878" s="61"/>
      <c r="G878" s="57"/>
      <c r="H878" s="61"/>
      <c r="I878" s="61"/>
      <c r="J878" s="61"/>
      <c r="K878" s="57"/>
      <c r="L878" s="57"/>
      <c r="M878" s="57"/>
      <c r="N878" s="199"/>
    </row>
    <row r="879" spans="1:14" x14ac:dyDescent="0.35">
      <c r="A879" s="57"/>
      <c r="B879" s="57"/>
      <c r="C879" s="61"/>
      <c r="D879" s="61"/>
      <c r="E879" s="61"/>
      <c r="F879" s="61"/>
      <c r="G879" s="57"/>
      <c r="H879" s="61"/>
      <c r="I879" s="61"/>
      <c r="J879" s="61"/>
      <c r="K879" s="57"/>
      <c r="L879" s="57"/>
      <c r="M879" s="57"/>
      <c r="N879" s="199"/>
    </row>
    <row r="880" spans="1:14" x14ac:dyDescent="0.35">
      <c r="A880" s="57"/>
      <c r="B880" s="57"/>
      <c r="C880" s="61"/>
      <c r="D880" s="61"/>
      <c r="E880" s="61"/>
      <c r="F880" s="61"/>
      <c r="G880" s="57"/>
      <c r="H880" s="61"/>
      <c r="I880" s="61"/>
      <c r="J880" s="61"/>
      <c r="K880" s="57"/>
      <c r="L880" s="57"/>
      <c r="M880" s="57"/>
      <c r="N880" s="199"/>
    </row>
    <row r="881" spans="1:14" x14ac:dyDescent="0.35">
      <c r="A881" s="57"/>
      <c r="B881" s="57"/>
      <c r="C881" s="61"/>
      <c r="D881" s="61"/>
      <c r="E881" s="61"/>
      <c r="F881" s="61"/>
      <c r="G881" s="57"/>
      <c r="H881" s="61"/>
      <c r="I881" s="61"/>
      <c r="J881" s="61"/>
      <c r="K881" s="57"/>
      <c r="L881" s="57"/>
      <c r="M881" s="57"/>
      <c r="N881" s="199"/>
    </row>
    <row r="882" spans="1:14" x14ac:dyDescent="0.35">
      <c r="A882" s="57"/>
      <c r="B882" s="57"/>
      <c r="C882" s="61"/>
      <c r="D882" s="61"/>
      <c r="E882" s="61"/>
      <c r="F882" s="61"/>
      <c r="G882" s="57"/>
      <c r="H882" s="61"/>
      <c r="I882" s="61"/>
      <c r="J882" s="61"/>
      <c r="K882" s="57"/>
      <c r="L882" s="57"/>
      <c r="M882" s="57"/>
      <c r="N882" s="199"/>
    </row>
    <row r="883" spans="1:14" x14ac:dyDescent="0.35">
      <c r="A883" s="57"/>
      <c r="B883" s="57"/>
      <c r="C883" s="61"/>
      <c r="D883" s="61"/>
      <c r="E883" s="61"/>
      <c r="F883" s="61"/>
      <c r="G883" s="57"/>
      <c r="H883" s="61"/>
      <c r="I883" s="61"/>
      <c r="J883" s="61"/>
      <c r="K883" s="57"/>
      <c r="L883" s="57"/>
      <c r="M883" s="57"/>
      <c r="N883" s="199"/>
    </row>
    <row r="884" spans="1:14" x14ac:dyDescent="0.35">
      <c r="A884" s="57"/>
      <c r="B884" s="57"/>
      <c r="C884" s="61"/>
      <c r="D884" s="61"/>
      <c r="E884" s="61"/>
      <c r="F884" s="61"/>
      <c r="G884" s="57"/>
      <c r="H884" s="61"/>
      <c r="I884" s="61"/>
      <c r="J884" s="61"/>
      <c r="K884" s="57"/>
      <c r="L884" s="57"/>
      <c r="M884" s="57"/>
      <c r="N884" s="199"/>
    </row>
    <row r="885" spans="1:14" x14ac:dyDescent="0.35">
      <c r="A885" s="57"/>
      <c r="B885" s="57"/>
      <c r="C885" s="61"/>
      <c r="D885" s="61"/>
      <c r="E885" s="61"/>
      <c r="F885" s="61"/>
      <c r="G885" s="57"/>
      <c r="H885" s="61"/>
      <c r="I885" s="61"/>
      <c r="J885" s="61"/>
      <c r="K885" s="57"/>
      <c r="L885" s="57"/>
      <c r="M885" s="57"/>
      <c r="N885" s="199"/>
    </row>
    <row r="886" spans="1:14" x14ac:dyDescent="0.35">
      <c r="A886" s="57"/>
      <c r="B886" s="57"/>
      <c r="C886" s="61"/>
      <c r="D886" s="61"/>
      <c r="E886" s="61"/>
      <c r="F886" s="61"/>
      <c r="G886" s="57"/>
      <c r="H886" s="61"/>
      <c r="I886" s="61"/>
      <c r="J886" s="61"/>
      <c r="K886" s="57"/>
      <c r="L886" s="57"/>
      <c r="M886" s="57"/>
      <c r="N886" s="199"/>
    </row>
    <row r="887" spans="1:14" x14ac:dyDescent="0.35">
      <c r="A887" s="57"/>
      <c r="B887" s="57"/>
      <c r="C887" s="61"/>
      <c r="D887" s="61"/>
      <c r="E887" s="61"/>
      <c r="F887" s="61"/>
      <c r="G887" s="57"/>
      <c r="H887" s="61"/>
      <c r="I887" s="61"/>
      <c r="J887" s="61"/>
      <c r="K887" s="57"/>
      <c r="L887" s="57"/>
      <c r="M887" s="57"/>
      <c r="N887" s="199"/>
    </row>
    <row r="888" spans="1:14" x14ac:dyDescent="0.35">
      <c r="A888" s="57"/>
      <c r="B888" s="57"/>
      <c r="C888" s="61"/>
      <c r="D888" s="61"/>
      <c r="E888" s="61"/>
      <c r="F888" s="61"/>
      <c r="G888" s="57"/>
      <c r="H888" s="61"/>
      <c r="I888" s="61"/>
      <c r="J888" s="61"/>
      <c r="K888" s="57"/>
      <c r="L888" s="57"/>
      <c r="M888" s="57"/>
      <c r="N888" s="199"/>
    </row>
    <row r="889" spans="1:14" x14ac:dyDescent="0.35">
      <c r="A889" s="57"/>
      <c r="B889" s="57"/>
      <c r="C889" s="61"/>
      <c r="D889" s="61"/>
      <c r="E889" s="61"/>
      <c r="F889" s="61"/>
      <c r="G889" s="57"/>
      <c r="H889" s="61"/>
      <c r="I889" s="61"/>
      <c r="J889" s="61"/>
      <c r="K889" s="57"/>
      <c r="L889" s="57"/>
      <c r="M889" s="57"/>
      <c r="N889" s="199"/>
    </row>
    <row r="890" spans="1:14" x14ac:dyDescent="0.35">
      <c r="A890" s="57"/>
      <c r="B890" s="57"/>
      <c r="C890" s="61"/>
      <c r="D890" s="61"/>
      <c r="E890" s="61"/>
      <c r="F890" s="61"/>
      <c r="G890" s="57"/>
      <c r="H890" s="61"/>
      <c r="I890" s="61"/>
      <c r="J890" s="61"/>
      <c r="K890" s="57"/>
      <c r="L890" s="57"/>
      <c r="M890" s="57"/>
      <c r="N890" s="199"/>
    </row>
    <row r="891" spans="1:14" x14ac:dyDescent="0.35">
      <c r="A891" s="57"/>
      <c r="B891" s="57"/>
      <c r="C891" s="61"/>
      <c r="D891" s="61"/>
      <c r="E891" s="61"/>
      <c r="F891" s="61"/>
      <c r="G891" s="57"/>
      <c r="H891" s="61"/>
      <c r="I891" s="61"/>
      <c r="J891" s="61"/>
      <c r="K891" s="57"/>
      <c r="L891" s="57"/>
      <c r="M891" s="57"/>
      <c r="N891" s="199"/>
    </row>
    <row r="892" spans="1:14" x14ac:dyDescent="0.35">
      <c r="A892" s="57"/>
      <c r="B892" s="57"/>
      <c r="C892" s="61"/>
      <c r="D892" s="61"/>
      <c r="E892" s="61"/>
      <c r="F892" s="61"/>
      <c r="G892" s="57"/>
      <c r="H892" s="61"/>
      <c r="I892" s="61"/>
      <c r="J892" s="61"/>
      <c r="K892" s="57"/>
      <c r="L892" s="57"/>
      <c r="M892" s="57"/>
      <c r="N892" s="199"/>
    </row>
    <row r="893" spans="1:14" x14ac:dyDescent="0.35">
      <c r="A893" s="57"/>
      <c r="B893" s="57"/>
      <c r="C893" s="61"/>
      <c r="D893" s="61"/>
      <c r="E893" s="61"/>
      <c r="F893" s="61"/>
      <c r="G893" s="57"/>
      <c r="H893" s="61"/>
      <c r="I893" s="61"/>
      <c r="J893" s="61"/>
      <c r="K893" s="57"/>
      <c r="L893" s="57"/>
      <c r="M893" s="57"/>
      <c r="N893" s="199"/>
    </row>
    <row r="894" spans="1:14" x14ac:dyDescent="0.35">
      <c r="A894" s="57"/>
      <c r="B894" s="57"/>
      <c r="C894" s="61"/>
      <c r="D894" s="61"/>
      <c r="E894" s="61"/>
      <c r="F894" s="61"/>
      <c r="G894" s="57"/>
      <c r="H894" s="61"/>
      <c r="I894" s="61"/>
      <c r="J894" s="61"/>
      <c r="K894" s="57"/>
      <c r="L894" s="57"/>
      <c r="M894" s="57"/>
      <c r="N894" s="199"/>
    </row>
    <row r="895" spans="1:14" x14ac:dyDescent="0.35">
      <c r="A895" s="57"/>
      <c r="B895" s="57"/>
      <c r="C895" s="61"/>
      <c r="D895" s="61"/>
      <c r="E895" s="61"/>
      <c r="F895" s="61"/>
      <c r="G895" s="57"/>
      <c r="H895" s="61"/>
      <c r="I895" s="61"/>
      <c r="J895" s="61"/>
      <c r="K895" s="57"/>
      <c r="L895" s="57"/>
      <c r="M895" s="57"/>
      <c r="N895" s="199"/>
    </row>
    <row r="896" spans="1:14" x14ac:dyDescent="0.35">
      <c r="A896" s="57"/>
      <c r="B896" s="57"/>
      <c r="C896" s="61"/>
      <c r="D896" s="61"/>
      <c r="E896" s="61"/>
      <c r="F896" s="61"/>
      <c r="G896" s="57"/>
      <c r="H896" s="61"/>
      <c r="I896" s="61"/>
      <c r="J896" s="61"/>
      <c r="K896" s="57"/>
      <c r="L896" s="57"/>
      <c r="M896" s="57"/>
      <c r="N896" s="199"/>
    </row>
    <row r="897" spans="1:14" x14ac:dyDescent="0.35">
      <c r="A897" s="57"/>
      <c r="B897" s="57"/>
      <c r="C897" s="61"/>
      <c r="D897" s="61"/>
      <c r="E897" s="61"/>
      <c r="F897" s="61"/>
      <c r="G897" s="57"/>
      <c r="H897" s="61"/>
      <c r="I897" s="61"/>
      <c r="J897" s="61"/>
      <c r="K897" s="57"/>
      <c r="L897" s="57"/>
      <c r="M897" s="57"/>
      <c r="N897" s="199"/>
    </row>
    <row r="898" spans="1:14" x14ac:dyDescent="0.35">
      <c r="A898" s="57"/>
      <c r="B898" s="57"/>
      <c r="C898" s="61"/>
      <c r="D898" s="61"/>
      <c r="E898" s="61"/>
      <c r="F898" s="61"/>
      <c r="G898" s="57"/>
      <c r="H898" s="61"/>
      <c r="I898" s="61"/>
      <c r="J898" s="61"/>
      <c r="K898" s="57"/>
      <c r="L898" s="57"/>
      <c r="M898" s="57"/>
      <c r="N898" s="199"/>
    </row>
    <row r="899" spans="1:14" x14ac:dyDescent="0.35">
      <c r="A899" s="57"/>
      <c r="B899" s="57"/>
      <c r="C899" s="61"/>
      <c r="D899" s="61"/>
      <c r="E899" s="61"/>
      <c r="F899" s="61"/>
      <c r="G899" s="57"/>
      <c r="H899" s="61"/>
      <c r="I899" s="61"/>
      <c r="J899" s="61"/>
      <c r="K899" s="57"/>
      <c r="L899" s="57"/>
      <c r="M899" s="57"/>
      <c r="N899" s="199"/>
    </row>
    <row r="900" spans="1:14" x14ac:dyDescent="0.35">
      <c r="A900" s="57"/>
      <c r="B900" s="57"/>
      <c r="C900" s="61"/>
      <c r="D900" s="61"/>
      <c r="E900" s="61"/>
      <c r="F900" s="61"/>
      <c r="G900" s="57"/>
      <c r="H900" s="61"/>
      <c r="I900" s="61"/>
      <c r="J900" s="61"/>
      <c r="K900" s="57"/>
      <c r="L900" s="57"/>
      <c r="M900" s="57"/>
      <c r="N900" s="199"/>
    </row>
    <row r="901" spans="1:14" x14ac:dyDescent="0.35">
      <c r="A901" s="57"/>
      <c r="B901" s="57"/>
      <c r="C901" s="61"/>
      <c r="D901" s="61"/>
      <c r="E901" s="61"/>
      <c r="F901" s="61"/>
      <c r="G901" s="57"/>
      <c r="H901" s="61"/>
      <c r="I901" s="61"/>
      <c r="J901" s="61"/>
      <c r="K901" s="57"/>
      <c r="L901" s="57"/>
      <c r="M901" s="57"/>
      <c r="N901" s="199"/>
    </row>
    <row r="902" spans="1:14" x14ac:dyDescent="0.35">
      <c r="A902" s="57"/>
      <c r="B902" s="57"/>
      <c r="C902" s="61"/>
      <c r="D902" s="61"/>
      <c r="E902" s="61"/>
      <c r="F902" s="61"/>
      <c r="G902" s="57"/>
      <c r="H902" s="61"/>
      <c r="I902" s="61"/>
      <c r="J902" s="61"/>
      <c r="K902" s="57"/>
      <c r="L902" s="57"/>
      <c r="M902" s="57"/>
      <c r="N902" s="199"/>
    </row>
    <row r="903" spans="1:14" x14ac:dyDescent="0.35">
      <c r="A903" s="57"/>
      <c r="B903" s="57"/>
      <c r="C903" s="61"/>
      <c r="D903" s="61"/>
      <c r="E903" s="61"/>
      <c r="F903" s="61"/>
      <c r="G903" s="57"/>
      <c r="H903" s="61"/>
      <c r="I903" s="61"/>
      <c r="J903" s="61"/>
      <c r="K903" s="57"/>
      <c r="L903" s="57"/>
      <c r="M903" s="57"/>
      <c r="N903" s="199"/>
    </row>
    <row r="904" spans="1:14" x14ac:dyDescent="0.35">
      <c r="A904" s="57"/>
      <c r="B904" s="57"/>
      <c r="C904" s="61"/>
      <c r="D904" s="61"/>
      <c r="E904" s="61"/>
      <c r="F904" s="61"/>
      <c r="G904" s="57"/>
      <c r="H904" s="61"/>
      <c r="I904" s="61"/>
      <c r="J904" s="61"/>
      <c r="K904" s="57"/>
      <c r="L904" s="57"/>
      <c r="M904" s="57"/>
      <c r="N904" s="199"/>
    </row>
    <row r="905" spans="1:14" x14ac:dyDescent="0.35">
      <c r="A905" s="57"/>
      <c r="B905" s="57"/>
      <c r="C905" s="61"/>
      <c r="D905" s="61"/>
      <c r="E905" s="61"/>
      <c r="F905" s="61"/>
      <c r="G905" s="57"/>
      <c r="H905" s="61"/>
      <c r="I905" s="61"/>
      <c r="J905" s="61"/>
      <c r="K905" s="57"/>
      <c r="L905" s="57"/>
      <c r="M905" s="57"/>
      <c r="N905" s="199"/>
    </row>
    <row r="906" spans="1:14" x14ac:dyDescent="0.35">
      <c r="A906" s="57"/>
      <c r="B906" s="57"/>
      <c r="C906" s="61"/>
      <c r="D906" s="61"/>
      <c r="E906" s="61"/>
      <c r="F906" s="61"/>
      <c r="G906" s="57"/>
      <c r="H906" s="61"/>
      <c r="I906" s="61"/>
      <c r="J906" s="61"/>
      <c r="K906" s="57"/>
      <c r="L906" s="57"/>
      <c r="M906" s="57"/>
      <c r="N906" s="199"/>
    </row>
    <row r="907" spans="1:14" x14ac:dyDescent="0.35">
      <c r="A907" s="57"/>
      <c r="B907" s="57"/>
      <c r="C907" s="61"/>
      <c r="D907" s="61"/>
      <c r="E907" s="61"/>
      <c r="F907" s="61"/>
      <c r="G907" s="57"/>
      <c r="H907" s="61"/>
      <c r="I907" s="61"/>
      <c r="J907" s="61"/>
      <c r="K907" s="57"/>
      <c r="L907" s="57"/>
      <c r="M907" s="57"/>
      <c r="N907" s="199"/>
    </row>
    <row r="908" spans="1:14" x14ac:dyDescent="0.35">
      <c r="A908" s="57"/>
      <c r="B908" s="57"/>
      <c r="C908" s="61"/>
      <c r="D908" s="61"/>
      <c r="E908" s="61"/>
      <c r="F908" s="61"/>
      <c r="G908" s="57"/>
      <c r="H908" s="61"/>
      <c r="I908" s="61"/>
      <c r="J908" s="61"/>
      <c r="K908" s="57"/>
      <c r="L908" s="57"/>
      <c r="M908" s="57"/>
      <c r="N908" s="199"/>
    </row>
    <row r="909" spans="1:14" x14ac:dyDescent="0.35">
      <c r="A909" s="57"/>
      <c r="B909" s="57"/>
      <c r="C909" s="61"/>
      <c r="D909" s="61"/>
      <c r="E909" s="61"/>
      <c r="F909" s="61"/>
      <c r="G909" s="57"/>
      <c r="H909" s="61"/>
      <c r="I909" s="61"/>
      <c r="J909" s="61"/>
      <c r="K909" s="57"/>
      <c r="L909" s="57"/>
      <c r="M909" s="57"/>
      <c r="N909" s="199"/>
    </row>
    <row r="910" spans="1:14" x14ac:dyDescent="0.35">
      <c r="A910" s="57"/>
      <c r="B910" s="57"/>
      <c r="C910" s="61"/>
      <c r="D910" s="61"/>
      <c r="E910" s="61"/>
      <c r="F910" s="61"/>
      <c r="G910" s="57"/>
      <c r="H910" s="61"/>
      <c r="I910" s="61"/>
      <c r="J910" s="61"/>
      <c r="K910" s="57"/>
      <c r="L910" s="57"/>
      <c r="M910" s="57"/>
      <c r="N910" s="199"/>
    </row>
    <row r="911" spans="1:14" x14ac:dyDescent="0.35">
      <c r="A911" s="57"/>
      <c r="B911" s="57"/>
      <c r="C911" s="61"/>
      <c r="D911" s="61"/>
      <c r="E911" s="61"/>
      <c r="F911" s="61"/>
      <c r="G911" s="57"/>
      <c r="H911" s="61"/>
      <c r="I911" s="61"/>
      <c r="J911" s="61"/>
      <c r="K911" s="57"/>
      <c r="L911" s="57"/>
      <c r="M911" s="57"/>
      <c r="N911" s="199"/>
    </row>
    <row r="912" spans="1:14" x14ac:dyDescent="0.35">
      <c r="A912" s="57"/>
      <c r="B912" s="57"/>
      <c r="C912" s="61"/>
      <c r="D912" s="61"/>
      <c r="E912" s="61"/>
      <c r="F912" s="61"/>
      <c r="G912" s="57"/>
      <c r="H912" s="61"/>
      <c r="I912" s="61"/>
      <c r="J912" s="61"/>
      <c r="K912" s="57"/>
      <c r="L912" s="57"/>
      <c r="M912" s="57"/>
      <c r="N912" s="199"/>
    </row>
    <row r="913" spans="1:14" x14ac:dyDescent="0.35">
      <c r="A913" s="57"/>
      <c r="B913" s="57"/>
      <c r="C913" s="61"/>
      <c r="D913" s="61"/>
      <c r="E913" s="61"/>
      <c r="F913" s="61"/>
      <c r="G913" s="57"/>
      <c r="H913" s="61"/>
      <c r="I913" s="61"/>
      <c r="J913" s="61"/>
      <c r="K913" s="57"/>
      <c r="L913" s="57"/>
      <c r="M913" s="57"/>
      <c r="N913" s="199"/>
    </row>
    <row r="914" spans="1:14" x14ac:dyDescent="0.35">
      <c r="A914" s="57"/>
      <c r="B914" s="57"/>
      <c r="C914" s="61"/>
      <c r="D914" s="61"/>
      <c r="E914" s="61"/>
      <c r="F914" s="61"/>
      <c r="G914" s="57"/>
      <c r="H914" s="61"/>
      <c r="I914" s="61"/>
      <c r="J914" s="61"/>
      <c r="K914" s="57"/>
      <c r="L914" s="57"/>
      <c r="M914" s="57"/>
      <c r="N914" s="199"/>
    </row>
    <row r="915" spans="1:14" x14ac:dyDescent="0.35">
      <c r="A915" s="57"/>
      <c r="B915" s="57"/>
      <c r="C915" s="61"/>
      <c r="D915" s="61"/>
      <c r="E915" s="61"/>
      <c r="F915" s="61"/>
      <c r="G915" s="57"/>
      <c r="H915" s="61"/>
      <c r="I915" s="61"/>
      <c r="J915" s="61"/>
      <c r="K915" s="57"/>
      <c r="L915" s="57"/>
      <c r="M915" s="57"/>
      <c r="N915" s="199"/>
    </row>
    <row r="916" spans="1:14" x14ac:dyDescent="0.35">
      <c r="A916" s="57"/>
      <c r="B916" s="57"/>
      <c r="C916" s="61"/>
      <c r="D916" s="61"/>
      <c r="E916" s="61"/>
      <c r="F916" s="61"/>
      <c r="G916" s="57"/>
      <c r="H916" s="61"/>
      <c r="I916" s="61"/>
      <c r="J916" s="61"/>
      <c r="K916" s="57"/>
      <c r="L916" s="57"/>
      <c r="M916" s="57"/>
      <c r="N916" s="199"/>
    </row>
    <row r="917" spans="1:14" x14ac:dyDescent="0.35">
      <c r="A917" s="57"/>
      <c r="B917" s="57"/>
      <c r="C917" s="61"/>
      <c r="D917" s="61"/>
      <c r="E917" s="61"/>
      <c r="F917" s="61"/>
      <c r="G917" s="57"/>
      <c r="H917" s="61"/>
      <c r="I917" s="61"/>
      <c r="J917" s="61"/>
      <c r="K917" s="57"/>
      <c r="L917" s="57"/>
      <c r="M917" s="57"/>
      <c r="N917" s="199"/>
    </row>
    <row r="918" spans="1:14" x14ac:dyDescent="0.35">
      <c r="A918" s="57"/>
      <c r="B918" s="57"/>
      <c r="C918" s="61"/>
      <c r="D918" s="61"/>
      <c r="E918" s="61"/>
      <c r="F918" s="61"/>
      <c r="G918" s="57"/>
      <c r="H918" s="61"/>
      <c r="I918" s="61"/>
      <c r="J918" s="61"/>
      <c r="K918" s="57"/>
      <c r="L918" s="57"/>
      <c r="M918" s="57"/>
      <c r="N918" s="199"/>
    </row>
    <row r="919" spans="1:14" x14ac:dyDescent="0.35">
      <c r="A919" s="57"/>
      <c r="B919" s="57"/>
      <c r="C919" s="61"/>
      <c r="D919" s="61"/>
      <c r="E919" s="61"/>
      <c r="F919" s="61"/>
      <c r="G919" s="57"/>
      <c r="H919" s="61"/>
      <c r="I919" s="61"/>
      <c r="J919" s="61"/>
      <c r="K919" s="57"/>
      <c r="L919" s="57"/>
      <c r="M919" s="57"/>
      <c r="N919" s="199"/>
    </row>
    <row r="920" spans="1:14" x14ac:dyDescent="0.35">
      <c r="A920" s="57"/>
      <c r="B920" s="57"/>
      <c r="C920" s="61"/>
      <c r="D920" s="61"/>
      <c r="E920" s="61"/>
      <c r="F920" s="61"/>
      <c r="G920" s="57"/>
      <c r="H920" s="61"/>
      <c r="I920" s="61"/>
      <c r="J920" s="61"/>
      <c r="K920" s="57"/>
      <c r="L920" s="57"/>
      <c r="M920" s="57"/>
      <c r="N920" s="199"/>
    </row>
    <row r="921" spans="1:14" x14ac:dyDescent="0.35">
      <c r="A921" s="57"/>
      <c r="B921" s="57"/>
      <c r="C921" s="61"/>
      <c r="D921" s="61"/>
      <c r="E921" s="61"/>
      <c r="F921" s="61"/>
      <c r="G921" s="57"/>
      <c r="H921" s="61"/>
      <c r="I921" s="61"/>
      <c r="J921" s="61"/>
      <c r="K921" s="57"/>
      <c r="L921" s="57"/>
      <c r="M921" s="57"/>
      <c r="N921" s="199"/>
    </row>
    <row r="922" spans="1:14" x14ac:dyDescent="0.35">
      <c r="A922" s="57"/>
      <c r="B922" s="57"/>
      <c r="C922" s="61"/>
      <c r="D922" s="61"/>
      <c r="E922" s="61"/>
      <c r="F922" s="61"/>
      <c r="G922" s="57"/>
      <c r="H922" s="61"/>
      <c r="I922" s="61"/>
      <c r="J922" s="61"/>
      <c r="K922" s="57"/>
      <c r="L922" s="57"/>
      <c r="M922" s="57"/>
      <c r="N922" s="199"/>
    </row>
    <row r="923" spans="1:14" x14ac:dyDescent="0.35">
      <c r="A923" s="57"/>
      <c r="B923" s="57"/>
      <c r="C923" s="61"/>
      <c r="D923" s="61"/>
      <c r="E923" s="61"/>
      <c r="F923" s="61"/>
      <c r="G923" s="57"/>
      <c r="H923" s="61"/>
      <c r="I923" s="61"/>
      <c r="J923" s="61"/>
      <c r="K923" s="57"/>
      <c r="L923" s="57"/>
      <c r="M923" s="57"/>
      <c r="N923" s="199"/>
    </row>
    <row r="924" spans="1:14" x14ac:dyDescent="0.35">
      <c r="A924" s="57"/>
      <c r="B924" s="57"/>
      <c r="C924" s="61"/>
      <c r="D924" s="61"/>
      <c r="E924" s="61"/>
      <c r="F924" s="61"/>
      <c r="G924" s="57"/>
      <c r="H924" s="61"/>
      <c r="I924" s="61"/>
      <c r="J924" s="61"/>
      <c r="K924" s="57"/>
      <c r="L924" s="57"/>
      <c r="M924" s="57"/>
      <c r="N924" s="199"/>
    </row>
    <row r="925" spans="1:14" x14ac:dyDescent="0.35">
      <c r="A925" s="57"/>
      <c r="B925" s="57"/>
      <c r="C925" s="61"/>
      <c r="D925" s="61"/>
      <c r="E925" s="61"/>
      <c r="F925" s="61"/>
      <c r="G925" s="57"/>
      <c r="H925" s="61"/>
      <c r="I925" s="61"/>
      <c r="J925" s="61"/>
      <c r="K925" s="57"/>
      <c r="L925" s="57"/>
      <c r="M925" s="57"/>
      <c r="N925" s="199"/>
    </row>
    <row r="926" spans="1:14" x14ac:dyDescent="0.35">
      <c r="A926" s="57"/>
      <c r="B926" s="57"/>
      <c r="C926" s="61"/>
      <c r="D926" s="61"/>
      <c r="E926" s="61"/>
      <c r="F926" s="61"/>
      <c r="G926" s="57"/>
      <c r="H926" s="61"/>
      <c r="I926" s="61"/>
      <c r="J926" s="61"/>
      <c r="K926" s="57"/>
      <c r="L926" s="57"/>
      <c r="M926" s="57"/>
      <c r="N926" s="199"/>
    </row>
    <row r="927" spans="1:14" x14ac:dyDescent="0.35">
      <c r="A927" s="57"/>
      <c r="B927" s="57"/>
      <c r="C927" s="61"/>
      <c r="D927" s="61"/>
      <c r="E927" s="61"/>
      <c r="F927" s="61"/>
      <c r="G927" s="57"/>
      <c r="H927" s="61"/>
      <c r="I927" s="61"/>
      <c r="J927" s="61"/>
      <c r="K927" s="57"/>
      <c r="L927" s="57"/>
      <c r="M927" s="57"/>
      <c r="N927" s="199"/>
    </row>
    <row r="928" spans="1:14" x14ac:dyDescent="0.35">
      <c r="A928" s="57"/>
      <c r="B928" s="57"/>
      <c r="C928" s="61"/>
      <c r="D928" s="61"/>
      <c r="E928" s="61"/>
      <c r="F928" s="61"/>
      <c r="G928" s="57"/>
      <c r="H928" s="61"/>
      <c r="I928" s="61"/>
      <c r="J928" s="61"/>
      <c r="K928" s="57"/>
      <c r="L928" s="57"/>
      <c r="M928" s="57"/>
      <c r="N928" s="199"/>
    </row>
    <row r="929" spans="1:14" x14ac:dyDescent="0.35">
      <c r="A929" s="57"/>
      <c r="B929" s="57"/>
      <c r="C929" s="61"/>
      <c r="D929" s="61"/>
      <c r="E929" s="61"/>
      <c r="F929" s="61"/>
      <c r="G929" s="57"/>
      <c r="H929" s="61"/>
      <c r="I929" s="61"/>
      <c r="J929" s="61"/>
      <c r="K929" s="57"/>
      <c r="L929" s="57"/>
      <c r="M929" s="57"/>
      <c r="N929" s="199"/>
    </row>
    <row r="930" spans="1:14" x14ac:dyDescent="0.35">
      <c r="A930" s="57"/>
      <c r="B930" s="57"/>
      <c r="C930" s="61"/>
      <c r="D930" s="61"/>
      <c r="E930" s="61"/>
      <c r="F930" s="61"/>
      <c r="G930" s="57"/>
      <c r="H930" s="61"/>
      <c r="I930" s="61"/>
      <c r="J930" s="61"/>
      <c r="K930" s="57"/>
      <c r="L930" s="57"/>
      <c r="M930" s="57"/>
      <c r="N930" s="199"/>
    </row>
    <row r="931" spans="1:14" x14ac:dyDescent="0.35">
      <c r="A931" s="57"/>
      <c r="B931" s="57"/>
      <c r="C931" s="61"/>
      <c r="D931" s="61"/>
      <c r="E931" s="61"/>
      <c r="F931" s="61"/>
      <c r="G931" s="57"/>
      <c r="H931" s="61"/>
      <c r="I931" s="61"/>
      <c r="J931" s="61"/>
      <c r="K931" s="57"/>
      <c r="L931" s="57"/>
      <c r="M931" s="57"/>
      <c r="N931" s="199"/>
    </row>
    <row r="932" spans="1:14" x14ac:dyDescent="0.35">
      <c r="A932" s="57"/>
      <c r="B932" s="57"/>
      <c r="C932" s="61"/>
      <c r="D932" s="61"/>
      <c r="E932" s="61"/>
      <c r="F932" s="61"/>
      <c r="G932" s="57"/>
      <c r="H932" s="61"/>
      <c r="I932" s="61"/>
      <c r="J932" s="61"/>
      <c r="K932" s="57"/>
      <c r="L932" s="57"/>
      <c r="M932" s="57"/>
      <c r="N932" s="199"/>
    </row>
    <row r="933" spans="1:14" x14ac:dyDescent="0.35">
      <c r="A933" s="57"/>
      <c r="B933" s="57"/>
      <c r="C933" s="61"/>
      <c r="D933" s="61"/>
      <c r="E933" s="61"/>
      <c r="F933" s="61"/>
      <c r="G933" s="57"/>
      <c r="H933" s="61"/>
      <c r="I933" s="61"/>
      <c r="J933" s="61"/>
      <c r="K933" s="57"/>
      <c r="L933" s="57"/>
      <c r="M933" s="57"/>
      <c r="N933" s="199"/>
    </row>
    <row r="934" spans="1:14" x14ac:dyDescent="0.35">
      <c r="A934" s="57"/>
      <c r="B934" s="57"/>
      <c r="C934" s="61"/>
      <c r="D934" s="61"/>
      <c r="E934" s="61"/>
      <c r="F934" s="61"/>
      <c r="G934" s="57"/>
      <c r="H934" s="61"/>
      <c r="I934" s="61"/>
      <c r="J934" s="61"/>
      <c r="K934" s="57"/>
      <c r="L934" s="57"/>
      <c r="M934" s="57"/>
      <c r="N934" s="199"/>
    </row>
    <row r="935" spans="1:14" x14ac:dyDescent="0.35">
      <c r="A935" s="57"/>
      <c r="B935" s="57"/>
      <c r="C935" s="61"/>
      <c r="D935" s="61"/>
      <c r="E935" s="61"/>
      <c r="F935" s="61"/>
      <c r="G935" s="57"/>
      <c r="H935" s="61"/>
      <c r="I935" s="61"/>
      <c r="J935" s="61"/>
      <c r="K935" s="57"/>
      <c r="L935" s="57"/>
      <c r="M935" s="57"/>
      <c r="N935" s="199"/>
    </row>
    <row r="936" spans="1:14" x14ac:dyDescent="0.35">
      <c r="A936" s="57"/>
      <c r="B936" s="57"/>
      <c r="C936" s="61"/>
      <c r="D936" s="61"/>
      <c r="E936" s="61"/>
      <c r="F936" s="61"/>
      <c r="G936" s="57"/>
      <c r="H936" s="61"/>
      <c r="I936" s="61"/>
      <c r="J936" s="61"/>
      <c r="K936" s="57"/>
      <c r="L936" s="57"/>
      <c r="M936" s="57"/>
      <c r="N936" s="199"/>
    </row>
    <row r="937" spans="1:14" x14ac:dyDescent="0.35">
      <c r="A937" s="57"/>
      <c r="B937" s="57"/>
      <c r="C937" s="61"/>
      <c r="D937" s="61"/>
      <c r="E937" s="61"/>
      <c r="F937" s="61"/>
      <c r="G937" s="57"/>
      <c r="H937" s="61"/>
      <c r="I937" s="61"/>
      <c r="J937" s="61"/>
      <c r="K937" s="57"/>
      <c r="L937" s="57"/>
      <c r="M937" s="57"/>
      <c r="N937" s="199"/>
    </row>
    <row r="938" spans="1:14" x14ac:dyDescent="0.35">
      <c r="A938" s="57"/>
      <c r="B938" s="57"/>
      <c r="C938" s="61"/>
      <c r="D938" s="61"/>
      <c r="E938" s="61"/>
      <c r="F938" s="61"/>
      <c r="G938" s="57"/>
      <c r="H938" s="61"/>
      <c r="I938" s="61"/>
      <c r="J938" s="61"/>
      <c r="K938" s="57"/>
      <c r="L938" s="57"/>
      <c r="M938" s="57"/>
      <c r="N938" s="199"/>
    </row>
    <row r="939" spans="1:14" x14ac:dyDescent="0.35">
      <c r="A939" s="57"/>
      <c r="B939" s="57"/>
      <c r="C939" s="61"/>
      <c r="D939" s="61"/>
      <c r="E939" s="61"/>
      <c r="F939" s="61"/>
      <c r="G939" s="57"/>
      <c r="H939" s="61"/>
      <c r="I939" s="61"/>
      <c r="J939" s="61"/>
      <c r="K939" s="57"/>
      <c r="L939" s="57"/>
      <c r="M939" s="57"/>
      <c r="N939" s="199"/>
    </row>
    <row r="940" spans="1:14" x14ac:dyDescent="0.35">
      <c r="A940" s="57"/>
      <c r="B940" s="57"/>
      <c r="C940" s="61"/>
      <c r="D940" s="61"/>
      <c r="E940" s="61"/>
      <c r="F940" s="61"/>
      <c r="G940" s="57"/>
      <c r="H940" s="61"/>
      <c r="I940" s="61"/>
      <c r="J940" s="61"/>
      <c r="K940" s="57"/>
      <c r="L940" s="57"/>
      <c r="M940" s="57"/>
      <c r="N940" s="199"/>
    </row>
    <row r="941" spans="1:14" x14ac:dyDescent="0.35">
      <c r="A941" s="57"/>
      <c r="B941" s="57"/>
      <c r="C941" s="61"/>
      <c r="D941" s="61"/>
      <c r="E941" s="61"/>
      <c r="F941" s="61"/>
      <c r="G941" s="57"/>
      <c r="H941" s="61"/>
      <c r="I941" s="61"/>
      <c r="J941" s="61"/>
      <c r="K941" s="57"/>
      <c r="L941" s="57"/>
      <c r="M941" s="57"/>
      <c r="N941" s="199"/>
    </row>
    <row r="942" spans="1:14" x14ac:dyDescent="0.35">
      <c r="A942" s="57"/>
      <c r="B942" s="57"/>
      <c r="C942" s="61"/>
      <c r="D942" s="61"/>
      <c r="E942" s="61"/>
      <c r="F942" s="61"/>
      <c r="G942" s="57"/>
      <c r="H942" s="61"/>
      <c r="I942" s="61"/>
      <c r="J942" s="61"/>
      <c r="K942" s="57"/>
      <c r="L942" s="57"/>
      <c r="M942" s="57"/>
      <c r="N942" s="199"/>
    </row>
    <row r="943" spans="1:14" x14ac:dyDescent="0.35">
      <c r="A943" s="57"/>
      <c r="B943" s="57"/>
      <c r="C943" s="61"/>
      <c r="D943" s="61"/>
      <c r="E943" s="61"/>
      <c r="F943" s="61"/>
      <c r="G943" s="57"/>
      <c r="H943" s="61"/>
      <c r="I943" s="61"/>
      <c r="J943" s="61"/>
      <c r="K943" s="57"/>
      <c r="L943" s="57"/>
      <c r="M943" s="57"/>
      <c r="N943" s="199"/>
    </row>
    <row r="944" spans="1:14" x14ac:dyDescent="0.35">
      <c r="A944" s="57"/>
      <c r="B944" s="57"/>
      <c r="C944" s="61"/>
      <c r="D944" s="61"/>
      <c r="E944" s="61"/>
      <c r="F944" s="61"/>
      <c r="G944" s="57"/>
      <c r="H944" s="61"/>
      <c r="I944" s="61"/>
      <c r="J944" s="61"/>
      <c r="K944" s="57"/>
      <c r="L944" s="57"/>
      <c r="M944" s="57"/>
      <c r="N944" s="199"/>
    </row>
    <row r="945" spans="1:14" x14ac:dyDescent="0.35">
      <c r="A945" s="57"/>
      <c r="B945" s="57"/>
      <c r="C945" s="61"/>
      <c r="D945" s="61"/>
      <c r="E945" s="61"/>
      <c r="F945" s="61"/>
      <c r="G945" s="57"/>
      <c r="H945" s="61"/>
      <c r="I945" s="61"/>
      <c r="J945" s="61"/>
      <c r="K945" s="57"/>
      <c r="L945" s="57"/>
      <c r="M945" s="57"/>
      <c r="N945" s="199"/>
    </row>
    <row r="946" spans="1:14" x14ac:dyDescent="0.35">
      <c r="A946" s="57"/>
      <c r="B946" s="57"/>
      <c r="C946" s="61"/>
      <c r="D946" s="61"/>
      <c r="E946" s="61"/>
      <c r="F946" s="61"/>
      <c r="G946" s="57"/>
      <c r="H946" s="61"/>
      <c r="I946" s="61"/>
      <c r="J946" s="61"/>
      <c r="K946" s="57"/>
      <c r="L946" s="57"/>
      <c r="M946" s="57"/>
      <c r="N946" s="199"/>
    </row>
    <row r="947" spans="1:14" x14ac:dyDescent="0.35">
      <c r="A947" s="57"/>
      <c r="B947" s="57"/>
      <c r="C947" s="61"/>
      <c r="D947" s="61"/>
      <c r="E947" s="61"/>
      <c r="F947" s="61"/>
      <c r="G947" s="57"/>
      <c r="H947" s="61"/>
      <c r="I947" s="61"/>
      <c r="J947" s="61"/>
      <c r="K947" s="57"/>
      <c r="L947" s="57"/>
      <c r="M947" s="57"/>
      <c r="N947" s="199"/>
    </row>
    <row r="948" spans="1:14" x14ac:dyDescent="0.35">
      <c r="A948" s="57"/>
      <c r="B948" s="57"/>
      <c r="C948" s="61"/>
      <c r="D948" s="61"/>
      <c r="E948" s="61"/>
      <c r="F948" s="61"/>
      <c r="G948" s="57"/>
      <c r="H948" s="61"/>
      <c r="I948" s="61"/>
      <c r="J948" s="61"/>
      <c r="K948" s="57"/>
      <c r="L948" s="57"/>
      <c r="M948" s="57"/>
      <c r="N948" s="199"/>
    </row>
    <row r="949" spans="1:14" x14ac:dyDescent="0.35">
      <c r="A949" s="57"/>
      <c r="B949" s="57"/>
      <c r="C949" s="61"/>
      <c r="D949" s="61"/>
      <c r="E949" s="61"/>
      <c r="F949" s="61"/>
      <c r="G949" s="57"/>
      <c r="H949" s="61"/>
      <c r="I949" s="61"/>
      <c r="J949" s="61"/>
      <c r="K949" s="57"/>
      <c r="L949" s="57"/>
      <c r="M949" s="57"/>
      <c r="N949" s="199"/>
    </row>
    <row r="950" spans="1:14" x14ac:dyDescent="0.35">
      <c r="A950" s="57"/>
      <c r="B950" s="57"/>
      <c r="C950" s="61"/>
      <c r="D950" s="61"/>
      <c r="E950" s="61"/>
      <c r="F950" s="61"/>
      <c r="G950" s="57"/>
      <c r="H950" s="61"/>
      <c r="I950" s="61"/>
      <c r="J950" s="61"/>
      <c r="K950" s="57"/>
      <c r="L950" s="57"/>
      <c r="M950" s="57"/>
      <c r="N950" s="199"/>
    </row>
    <row r="951" spans="1:14" x14ac:dyDescent="0.35">
      <c r="A951" s="57"/>
      <c r="B951" s="57"/>
      <c r="C951" s="61"/>
      <c r="D951" s="61"/>
      <c r="E951" s="61"/>
      <c r="F951" s="61"/>
      <c r="G951" s="57"/>
      <c r="H951" s="61"/>
      <c r="I951" s="61"/>
      <c r="J951" s="61"/>
      <c r="K951" s="57"/>
      <c r="L951" s="57"/>
      <c r="M951" s="57"/>
      <c r="N951" s="199"/>
    </row>
    <row r="952" spans="1:14" x14ac:dyDescent="0.35">
      <c r="A952" s="57"/>
      <c r="B952" s="57"/>
      <c r="C952" s="61"/>
      <c r="D952" s="61"/>
      <c r="E952" s="61"/>
      <c r="F952" s="61"/>
      <c r="G952" s="57"/>
      <c r="H952" s="61"/>
      <c r="I952" s="61"/>
      <c r="J952" s="61"/>
      <c r="K952" s="57"/>
      <c r="L952" s="57"/>
      <c r="M952" s="57"/>
      <c r="N952" s="199"/>
    </row>
    <row r="953" spans="1:14" x14ac:dyDescent="0.35">
      <c r="A953" s="57"/>
      <c r="B953" s="57"/>
      <c r="C953" s="61"/>
      <c r="D953" s="61"/>
      <c r="E953" s="61"/>
      <c r="F953" s="61"/>
      <c r="G953" s="57"/>
      <c r="H953" s="61"/>
      <c r="I953" s="61"/>
      <c r="J953" s="61"/>
      <c r="K953" s="57"/>
      <c r="L953" s="57"/>
      <c r="M953" s="57"/>
      <c r="N953" s="199"/>
    </row>
    <row r="954" spans="1:14" x14ac:dyDescent="0.35">
      <c r="A954" s="57"/>
      <c r="B954" s="57"/>
      <c r="C954" s="61"/>
      <c r="D954" s="61"/>
      <c r="E954" s="61"/>
      <c r="F954" s="61"/>
      <c r="G954" s="57"/>
      <c r="H954" s="61"/>
      <c r="I954" s="61"/>
      <c r="J954" s="61"/>
      <c r="K954" s="57"/>
      <c r="L954" s="57"/>
      <c r="M954" s="57"/>
      <c r="N954" s="199"/>
    </row>
    <row r="955" spans="1:14" x14ac:dyDescent="0.35">
      <c r="A955" s="57"/>
      <c r="B955" s="57"/>
      <c r="C955" s="61"/>
      <c r="D955" s="61"/>
      <c r="E955" s="61"/>
      <c r="F955" s="61"/>
      <c r="G955" s="57"/>
      <c r="H955" s="61"/>
      <c r="I955" s="61"/>
      <c r="J955" s="61"/>
      <c r="K955" s="57"/>
      <c r="L955" s="57"/>
      <c r="M955" s="57"/>
      <c r="N955" s="199"/>
    </row>
    <row r="956" spans="1:14" x14ac:dyDescent="0.35">
      <c r="A956" s="57"/>
      <c r="B956" s="57"/>
      <c r="C956" s="61"/>
      <c r="D956" s="61"/>
      <c r="E956" s="61"/>
      <c r="F956" s="61"/>
      <c r="G956" s="57"/>
      <c r="H956" s="61"/>
      <c r="I956" s="61"/>
      <c r="J956" s="61"/>
      <c r="K956" s="57"/>
      <c r="L956" s="57"/>
      <c r="M956" s="57"/>
      <c r="N956" s="199"/>
    </row>
    <row r="957" spans="1:14" x14ac:dyDescent="0.35">
      <c r="A957" s="57"/>
      <c r="B957" s="57"/>
      <c r="C957" s="61"/>
      <c r="D957" s="61"/>
      <c r="E957" s="61"/>
      <c r="F957" s="61"/>
      <c r="G957" s="57"/>
      <c r="H957" s="61"/>
      <c r="I957" s="61"/>
      <c r="J957" s="61"/>
      <c r="K957" s="57"/>
      <c r="L957" s="57"/>
      <c r="M957" s="57"/>
      <c r="N957" s="199"/>
    </row>
    <row r="958" spans="1:14" x14ac:dyDescent="0.35">
      <c r="A958" s="57"/>
      <c r="B958" s="57"/>
      <c r="C958" s="61"/>
      <c r="D958" s="61"/>
      <c r="E958" s="61"/>
      <c r="F958" s="61"/>
      <c r="G958" s="57"/>
      <c r="H958" s="61"/>
      <c r="I958" s="61"/>
      <c r="J958" s="61"/>
      <c r="K958" s="57"/>
      <c r="L958" s="57"/>
      <c r="M958" s="57"/>
      <c r="N958" s="199"/>
    </row>
    <row r="959" spans="1:14" x14ac:dyDescent="0.35">
      <c r="A959" s="57"/>
      <c r="B959" s="57"/>
      <c r="C959" s="61"/>
      <c r="D959" s="61"/>
      <c r="E959" s="61"/>
      <c r="F959" s="61"/>
      <c r="G959" s="57"/>
      <c r="H959" s="61"/>
      <c r="I959" s="61"/>
      <c r="J959" s="61"/>
      <c r="K959" s="57"/>
      <c r="L959" s="57"/>
      <c r="M959" s="57"/>
      <c r="N959" s="199"/>
    </row>
    <row r="960" spans="1:14" x14ac:dyDescent="0.35">
      <c r="A960" s="57"/>
      <c r="B960" s="57"/>
      <c r="C960" s="61"/>
      <c r="D960" s="61"/>
      <c r="E960" s="61"/>
      <c r="F960" s="61"/>
      <c r="G960" s="57"/>
      <c r="H960" s="61"/>
      <c r="I960" s="61"/>
      <c r="J960" s="61"/>
      <c r="K960" s="57"/>
      <c r="L960" s="57"/>
      <c r="M960" s="57"/>
      <c r="N960" s="199"/>
    </row>
    <row r="961" spans="1:14" x14ac:dyDescent="0.35">
      <c r="A961" s="57"/>
      <c r="B961" s="57"/>
      <c r="C961" s="61"/>
      <c r="D961" s="61"/>
      <c r="E961" s="61"/>
      <c r="F961" s="61"/>
      <c r="G961" s="57"/>
      <c r="H961" s="61"/>
      <c r="I961" s="61"/>
      <c r="J961" s="61"/>
      <c r="K961" s="57"/>
      <c r="L961" s="57"/>
      <c r="M961" s="57"/>
      <c r="N961" s="199"/>
    </row>
    <row r="962" spans="1:14" x14ac:dyDescent="0.35">
      <c r="A962" s="57"/>
      <c r="B962" s="57"/>
      <c r="C962" s="61"/>
      <c r="D962" s="61"/>
      <c r="E962" s="61"/>
      <c r="F962" s="61"/>
      <c r="G962" s="57"/>
      <c r="H962" s="61"/>
      <c r="I962" s="61"/>
      <c r="J962" s="61"/>
      <c r="K962" s="57"/>
      <c r="L962" s="57"/>
      <c r="M962" s="57"/>
      <c r="N962" s="199"/>
    </row>
    <row r="963" spans="1:14" x14ac:dyDescent="0.35">
      <c r="A963" s="57"/>
      <c r="B963" s="57"/>
      <c r="C963" s="61"/>
      <c r="D963" s="61"/>
      <c r="E963" s="61"/>
      <c r="F963" s="61"/>
      <c r="G963" s="57"/>
      <c r="H963" s="61"/>
      <c r="I963" s="61"/>
      <c r="J963" s="61"/>
      <c r="K963" s="57"/>
      <c r="L963" s="57"/>
      <c r="M963" s="57"/>
      <c r="N963" s="199"/>
    </row>
    <row r="964" spans="1:14" x14ac:dyDescent="0.35">
      <c r="A964" s="57"/>
      <c r="B964" s="57"/>
      <c r="C964" s="61"/>
      <c r="D964" s="61"/>
      <c r="E964" s="61"/>
      <c r="F964" s="61"/>
      <c r="G964" s="57"/>
      <c r="H964" s="61"/>
      <c r="I964" s="61"/>
      <c r="J964" s="61"/>
      <c r="K964" s="57"/>
      <c r="L964" s="57"/>
      <c r="M964" s="57"/>
      <c r="N964" s="199"/>
    </row>
    <row r="965" spans="1:14" x14ac:dyDescent="0.35">
      <c r="A965" s="57"/>
      <c r="B965" s="57"/>
      <c r="C965" s="61"/>
      <c r="D965" s="61"/>
      <c r="E965" s="61"/>
      <c r="F965" s="61"/>
      <c r="G965" s="57"/>
      <c r="H965" s="61"/>
      <c r="I965" s="61"/>
      <c r="J965" s="61"/>
      <c r="K965" s="57"/>
      <c r="L965" s="57"/>
      <c r="M965" s="57"/>
      <c r="N965" s="199"/>
    </row>
    <row r="966" spans="1:14" x14ac:dyDescent="0.35">
      <c r="A966" s="57"/>
      <c r="B966" s="57"/>
      <c r="C966" s="61"/>
      <c r="D966" s="61"/>
      <c r="E966" s="61"/>
      <c r="F966" s="61"/>
      <c r="G966" s="57"/>
      <c r="H966" s="61"/>
      <c r="I966" s="61"/>
      <c r="J966" s="61"/>
      <c r="K966" s="57"/>
      <c r="L966" s="57"/>
      <c r="M966" s="57"/>
      <c r="N966" s="199"/>
    </row>
    <row r="967" spans="1:14" x14ac:dyDescent="0.35">
      <c r="A967" s="57"/>
      <c r="B967" s="57"/>
      <c r="C967" s="61"/>
      <c r="D967" s="61"/>
      <c r="E967" s="61"/>
      <c r="F967" s="61"/>
      <c r="G967" s="57"/>
      <c r="H967" s="61"/>
      <c r="I967" s="61"/>
      <c r="J967" s="61"/>
      <c r="K967" s="57"/>
      <c r="L967" s="57"/>
      <c r="M967" s="57"/>
      <c r="N967" s="199"/>
    </row>
    <row r="968" spans="1:14" x14ac:dyDescent="0.35">
      <c r="A968" s="57"/>
      <c r="B968" s="57"/>
      <c r="C968" s="61"/>
      <c r="D968" s="61"/>
      <c r="E968" s="61"/>
      <c r="F968" s="61"/>
      <c r="G968" s="57"/>
      <c r="H968" s="61"/>
      <c r="I968" s="61"/>
      <c r="J968" s="61"/>
      <c r="K968" s="57"/>
      <c r="L968" s="57"/>
      <c r="M968" s="57"/>
      <c r="N968" s="199"/>
    </row>
    <row r="969" spans="1:14" x14ac:dyDescent="0.35">
      <c r="A969" s="57"/>
      <c r="B969" s="57"/>
      <c r="C969" s="61"/>
      <c r="D969" s="61"/>
      <c r="E969" s="61"/>
      <c r="F969" s="61"/>
      <c r="G969" s="57"/>
      <c r="H969" s="61"/>
      <c r="I969" s="61"/>
      <c r="J969" s="61"/>
      <c r="K969" s="57"/>
      <c r="L969" s="57"/>
      <c r="M969" s="57"/>
      <c r="N969" s="199"/>
    </row>
    <row r="970" spans="1:14" x14ac:dyDescent="0.35">
      <c r="A970" s="57"/>
      <c r="B970" s="57"/>
      <c r="C970" s="61"/>
      <c r="D970" s="61"/>
      <c r="E970" s="61"/>
      <c r="F970" s="61"/>
      <c r="G970" s="57"/>
      <c r="H970" s="61"/>
      <c r="I970" s="61"/>
      <c r="J970" s="61"/>
      <c r="K970" s="57"/>
      <c r="L970" s="57"/>
      <c r="M970" s="57"/>
      <c r="N970" s="199"/>
    </row>
    <row r="971" spans="1:14" x14ac:dyDescent="0.35">
      <c r="A971" s="57"/>
      <c r="B971" s="57"/>
      <c r="C971" s="61"/>
      <c r="D971" s="61"/>
      <c r="E971" s="61"/>
      <c r="F971" s="61"/>
      <c r="G971" s="57"/>
      <c r="H971" s="61"/>
      <c r="I971" s="61"/>
      <c r="J971" s="61"/>
      <c r="K971" s="57"/>
      <c r="L971" s="57"/>
      <c r="M971" s="57"/>
      <c r="N971" s="199"/>
    </row>
    <row r="972" spans="1:14" x14ac:dyDescent="0.35">
      <c r="A972" s="57"/>
      <c r="B972" s="57"/>
      <c r="C972" s="61"/>
      <c r="D972" s="61"/>
      <c r="E972" s="61"/>
      <c r="F972" s="61"/>
      <c r="G972" s="57"/>
      <c r="H972" s="61"/>
      <c r="I972" s="61"/>
      <c r="J972" s="61"/>
      <c r="K972" s="57"/>
      <c r="L972" s="57"/>
      <c r="M972" s="57"/>
      <c r="N972" s="199"/>
    </row>
    <row r="973" spans="1:14" x14ac:dyDescent="0.35">
      <c r="A973" s="57"/>
      <c r="B973" s="57"/>
      <c r="C973" s="61"/>
      <c r="D973" s="61"/>
      <c r="E973" s="61"/>
      <c r="F973" s="61"/>
      <c r="G973" s="57"/>
      <c r="H973" s="61"/>
      <c r="I973" s="61"/>
      <c r="J973" s="61"/>
      <c r="K973" s="57"/>
      <c r="L973" s="57"/>
      <c r="M973" s="57"/>
      <c r="N973" s="199"/>
    </row>
    <row r="974" spans="1:14" x14ac:dyDescent="0.35">
      <c r="A974" s="57"/>
      <c r="B974" s="57"/>
      <c r="C974" s="61"/>
      <c r="D974" s="61"/>
      <c r="E974" s="61"/>
      <c r="F974" s="61"/>
      <c r="G974" s="57"/>
      <c r="H974" s="61"/>
      <c r="I974" s="61"/>
      <c r="J974" s="61"/>
      <c r="K974" s="57"/>
      <c r="L974" s="57"/>
      <c r="M974" s="57"/>
      <c r="N974" s="199"/>
    </row>
    <row r="975" spans="1:14" x14ac:dyDescent="0.35">
      <c r="A975" s="57"/>
      <c r="B975" s="57"/>
      <c r="C975" s="61"/>
      <c r="D975" s="61"/>
      <c r="E975" s="61"/>
      <c r="F975" s="61"/>
      <c r="G975" s="57"/>
      <c r="H975" s="61"/>
      <c r="I975" s="61"/>
      <c r="J975" s="61"/>
      <c r="K975" s="57"/>
      <c r="L975" s="57"/>
      <c r="M975" s="57"/>
      <c r="N975" s="199"/>
    </row>
    <row r="976" spans="1:14" x14ac:dyDescent="0.35">
      <c r="A976" s="57"/>
      <c r="B976" s="57"/>
      <c r="C976" s="61"/>
      <c r="D976" s="61"/>
      <c r="E976" s="61"/>
      <c r="F976" s="61"/>
      <c r="G976" s="57"/>
      <c r="H976" s="61"/>
      <c r="I976" s="61"/>
      <c r="J976" s="61"/>
      <c r="K976" s="57"/>
      <c r="L976" s="57"/>
      <c r="M976" s="57"/>
      <c r="N976" s="199"/>
    </row>
    <row r="977" spans="1:14" x14ac:dyDescent="0.35">
      <c r="A977" s="57"/>
      <c r="B977" s="57"/>
      <c r="C977" s="61"/>
      <c r="D977" s="61"/>
      <c r="E977" s="61"/>
      <c r="F977" s="61"/>
      <c r="G977" s="57"/>
      <c r="H977" s="61"/>
      <c r="I977" s="61"/>
      <c r="J977" s="61"/>
      <c r="K977" s="57"/>
      <c r="L977" s="57"/>
      <c r="M977" s="57"/>
      <c r="N977" s="199"/>
    </row>
    <row r="978" spans="1:14" x14ac:dyDescent="0.35">
      <c r="A978" s="57"/>
      <c r="B978" s="57"/>
      <c r="C978" s="61"/>
      <c r="D978" s="61"/>
      <c r="E978" s="61"/>
      <c r="F978" s="61"/>
      <c r="G978" s="57"/>
      <c r="H978" s="61"/>
      <c r="I978" s="61"/>
      <c r="J978" s="61"/>
      <c r="K978" s="57"/>
      <c r="L978" s="57"/>
      <c r="M978" s="57"/>
      <c r="N978" s="199"/>
    </row>
    <row r="979" spans="1:14" x14ac:dyDescent="0.35">
      <c r="A979" s="57"/>
      <c r="B979" s="57"/>
      <c r="C979" s="61"/>
      <c r="D979" s="61"/>
      <c r="E979" s="61"/>
      <c r="F979" s="61"/>
      <c r="G979" s="57"/>
      <c r="H979" s="61"/>
      <c r="I979" s="61"/>
      <c r="J979" s="61"/>
      <c r="K979" s="57"/>
      <c r="L979" s="57"/>
      <c r="M979" s="57"/>
      <c r="N979" s="199"/>
    </row>
    <row r="980" spans="1:14" x14ac:dyDescent="0.35">
      <c r="A980" s="57"/>
      <c r="B980" s="57"/>
      <c r="C980" s="61"/>
      <c r="D980" s="61"/>
      <c r="E980" s="61"/>
      <c r="F980" s="61"/>
      <c r="G980" s="57"/>
      <c r="H980" s="61"/>
      <c r="I980" s="61"/>
      <c r="J980" s="61"/>
      <c r="K980" s="57"/>
      <c r="L980" s="57"/>
      <c r="M980" s="57"/>
      <c r="N980" s="199"/>
    </row>
    <row r="981" spans="1:14" x14ac:dyDescent="0.35">
      <c r="A981" s="57"/>
      <c r="B981" s="57"/>
      <c r="C981" s="61"/>
      <c r="D981" s="61"/>
      <c r="E981" s="61"/>
      <c r="F981" s="61"/>
      <c r="G981" s="57"/>
      <c r="H981" s="61"/>
      <c r="I981" s="61"/>
      <c r="J981" s="61"/>
      <c r="K981" s="57"/>
      <c r="L981" s="57"/>
      <c r="M981" s="57"/>
      <c r="N981" s="199"/>
    </row>
    <row r="982" spans="1:14" x14ac:dyDescent="0.35">
      <c r="A982" s="57"/>
      <c r="B982" s="57"/>
      <c r="C982" s="61"/>
      <c r="D982" s="61"/>
      <c r="E982" s="61"/>
      <c r="F982" s="61"/>
      <c r="G982" s="57"/>
      <c r="H982" s="61"/>
      <c r="I982" s="61"/>
      <c r="J982" s="61"/>
      <c r="K982" s="57"/>
      <c r="L982" s="57"/>
      <c r="M982" s="57"/>
      <c r="N982" s="199"/>
    </row>
    <row r="983" spans="1:14" x14ac:dyDescent="0.35">
      <c r="A983" s="57"/>
      <c r="B983" s="57"/>
      <c r="C983" s="61"/>
      <c r="D983" s="61"/>
      <c r="E983" s="61"/>
      <c r="F983" s="61"/>
      <c r="G983" s="57"/>
      <c r="H983" s="61"/>
      <c r="I983" s="61"/>
      <c r="J983" s="61"/>
      <c r="K983" s="57"/>
      <c r="L983" s="57"/>
      <c r="M983" s="57"/>
      <c r="N983" s="199"/>
    </row>
    <row r="984" spans="1:14" x14ac:dyDescent="0.35">
      <c r="A984" s="57"/>
      <c r="B984" s="57"/>
      <c r="C984" s="61"/>
      <c r="D984" s="61"/>
      <c r="E984" s="61"/>
      <c r="F984" s="61"/>
      <c r="G984" s="57"/>
      <c r="H984" s="61"/>
      <c r="I984" s="61"/>
      <c r="J984" s="61"/>
      <c r="K984" s="57"/>
      <c r="L984" s="57"/>
      <c r="M984" s="57"/>
      <c r="N984" s="199"/>
    </row>
    <row r="985" spans="1:14" x14ac:dyDescent="0.35">
      <c r="A985" s="57"/>
      <c r="B985" s="57"/>
      <c r="C985" s="61"/>
      <c r="D985" s="61"/>
      <c r="E985" s="61"/>
      <c r="F985" s="61"/>
      <c r="G985" s="57"/>
      <c r="H985" s="61"/>
      <c r="I985" s="61"/>
      <c r="J985" s="61"/>
      <c r="K985" s="57"/>
      <c r="L985" s="57"/>
      <c r="M985" s="57"/>
      <c r="N985" s="199"/>
    </row>
    <row r="986" spans="1:14" x14ac:dyDescent="0.35">
      <c r="A986" s="57"/>
      <c r="B986" s="57"/>
      <c r="C986" s="61"/>
      <c r="D986" s="61"/>
      <c r="E986" s="61"/>
      <c r="F986" s="61"/>
      <c r="G986" s="57"/>
      <c r="H986" s="61"/>
      <c r="I986" s="61"/>
      <c r="J986" s="61"/>
      <c r="K986" s="57"/>
      <c r="L986" s="57"/>
      <c r="M986" s="57"/>
      <c r="N986" s="199"/>
    </row>
    <row r="987" spans="1:14" x14ac:dyDescent="0.35">
      <c r="A987" s="57"/>
      <c r="B987" s="57"/>
      <c r="C987" s="61"/>
      <c r="D987" s="61"/>
      <c r="E987" s="61"/>
      <c r="F987" s="61"/>
      <c r="G987" s="57"/>
      <c r="H987" s="61"/>
      <c r="I987" s="61"/>
      <c r="J987" s="61"/>
      <c r="K987" s="57"/>
      <c r="L987" s="57"/>
      <c r="M987" s="57"/>
      <c r="N987" s="199"/>
    </row>
    <row r="988" spans="1:14" x14ac:dyDescent="0.35">
      <c r="A988" s="57"/>
      <c r="B988" s="57"/>
      <c r="C988" s="61"/>
      <c r="D988" s="61"/>
      <c r="E988" s="61"/>
      <c r="F988" s="61"/>
      <c r="G988" s="57"/>
      <c r="H988" s="61"/>
      <c r="I988" s="61"/>
      <c r="J988" s="61"/>
      <c r="K988" s="57"/>
      <c r="L988" s="57"/>
      <c r="M988" s="57"/>
      <c r="N988" s="199"/>
    </row>
    <row r="989" spans="1:14" x14ac:dyDescent="0.35">
      <c r="A989" s="57"/>
      <c r="B989" s="57"/>
      <c r="C989" s="61"/>
      <c r="D989" s="61"/>
      <c r="E989" s="61"/>
      <c r="F989" s="61"/>
      <c r="G989" s="57"/>
      <c r="H989" s="61"/>
      <c r="I989" s="61"/>
      <c r="J989" s="61"/>
      <c r="K989" s="57"/>
      <c r="L989" s="57"/>
      <c r="M989" s="57"/>
      <c r="N989" s="199"/>
    </row>
    <row r="990" spans="1:14" x14ac:dyDescent="0.35">
      <c r="A990" s="57"/>
      <c r="B990" s="57"/>
      <c r="C990" s="61"/>
      <c r="D990" s="61"/>
      <c r="E990" s="61"/>
      <c r="F990" s="61"/>
      <c r="G990" s="57"/>
      <c r="H990" s="61"/>
      <c r="I990" s="61"/>
      <c r="J990" s="61"/>
      <c r="K990" s="57"/>
      <c r="L990" s="57"/>
      <c r="M990" s="57"/>
      <c r="N990" s="199"/>
    </row>
    <row r="991" spans="1:14" x14ac:dyDescent="0.35">
      <c r="A991" s="57"/>
      <c r="B991" s="57"/>
      <c r="C991" s="61"/>
      <c r="D991" s="61"/>
      <c r="E991" s="61"/>
      <c r="F991" s="61"/>
      <c r="G991" s="57"/>
      <c r="H991" s="61"/>
      <c r="I991" s="61"/>
      <c r="J991" s="61"/>
      <c r="K991" s="57"/>
      <c r="L991" s="57"/>
      <c r="M991" s="57"/>
      <c r="N991" s="199"/>
    </row>
    <row r="992" spans="1:14" x14ac:dyDescent="0.35">
      <c r="A992" s="57"/>
      <c r="B992" s="57"/>
      <c r="C992" s="61"/>
      <c r="D992" s="61"/>
      <c r="E992" s="61"/>
      <c r="F992" s="61"/>
      <c r="G992" s="57"/>
      <c r="H992" s="61"/>
      <c r="I992" s="61"/>
      <c r="J992" s="61"/>
      <c r="K992" s="57"/>
      <c r="L992" s="57"/>
      <c r="M992" s="57"/>
      <c r="N992" s="199"/>
    </row>
    <row r="993" spans="1:14" x14ac:dyDescent="0.35">
      <c r="A993" s="57"/>
      <c r="B993" s="57"/>
      <c r="C993" s="61"/>
      <c r="D993" s="61"/>
      <c r="E993" s="61"/>
      <c r="F993" s="61"/>
      <c r="G993" s="57"/>
      <c r="H993" s="61"/>
      <c r="I993" s="61"/>
      <c r="J993" s="61"/>
      <c r="K993" s="57"/>
      <c r="L993" s="57"/>
      <c r="M993" s="57"/>
      <c r="N993" s="199"/>
    </row>
    <row r="994" spans="1:14" x14ac:dyDescent="0.35">
      <c r="A994" s="57"/>
      <c r="B994" s="57"/>
      <c r="C994" s="61"/>
      <c r="D994" s="61"/>
      <c r="E994" s="61"/>
      <c r="F994" s="61"/>
      <c r="G994" s="57"/>
      <c r="H994" s="61"/>
      <c r="I994" s="61"/>
      <c r="J994" s="61"/>
      <c r="K994" s="57"/>
      <c r="L994" s="57"/>
      <c r="M994" s="57"/>
      <c r="N994" s="199"/>
    </row>
    <row r="995" spans="1:14" x14ac:dyDescent="0.35">
      <c r="A995" s="57"/>
      <c r="B995" s="57"/>
      <c r="C995" s="61"/>
      <c r="D995" s="61"/>
      <c r="E995" s="61"/>
      <c r="F995" s="61"/>
      <c r="G995" s="57"/>
      <c r="H995" s="61"/>
      <c r="I995" s="61"/>
      <c r="J995" s="61"/>
      <c r="K995" s="57"/>
      <c r="L995" s="57"/>
      <c r="M995" s="57"/>
      <c r="N995" s="199"/>
    </row>
    <row r="996" spans="1:14" x14ac:dyDescent="0.35">
      <c r="A996" s="57"/>
      <c r="B996" s="57"/>
      <c r="C996" s="61"/>
      <c r="D996" s="61"/>
      <c r="E996" s="61"/>
      <c r="F996" s="61"/>
      <c r="G996" s="57"/>
      <c r="H996" s="61"/>
      <c r="I996" s="61"/>
      <c r="J996" s="61"/>
      <c r="K996" s="57"/>
      <c r="L996" s="57"/>
      <c r="M996" s="57"/>
      <c r="N996" s="199"/>
    </row>
    <row r="997" spans="1:14" x14ac:dyDescent="0.35">
      <c r="A997" s="57"/>
      <c r="B997" s="57"/>
      <c r="C997" s="61"/>
      <c r="D997" s="61"/>
      <c r="E997" s="61"/>
      <c r="F997" s="61"/>
      <c r="G997" s="57"/>
      <c r="H997" s="61"/>
      <c r="I997" s="61"/>
      <c r="J997" s="61"/>
      <c r="K997" s="57"/>
      <c r="L997" s="57"/>
      <c r="M997" s="57"/>
      <c r="N997" s="199"/>
    </row>
    <row r="998" spans="1:14" x14ac:dyDescent="0.35">
      <c r="A998" s="57"/>
      <c r="B998" s="57"/>
      <c r="C998" s="61"/>
      <c r="D998" s="61"/>
      <c r="E998" s="61"/>
      <c r="F998" s="61"/>
      <c r="G998" s="57"/>
      <c r="H998" s="61"/>
      <c r="I998" s="61"/>
      <c r="J998" s="61"/>
      <c r="K998" s="57"/>
      <c r="L998" s="57"/>
      <c r="M998" s="57"/>
      <c r="N998" s="199"/>
    </row>
    <row r="999" spans="1:14" x14ac:dyDescent="0.35">
      <c r="A999" s="57"/>
      <c r="B999" s="57"/>
      <c r="C999" s="61"/>
      <c r="D999" s="61"/>
      <c r="E999" s="61"/>
      <c r="F999" s="61"/>
      <c r="G999" s="57"/>
      <c r="H999" s="61"/>
      <c r="I999" s="61"/>
      <c r="J999" s="61"/>
      <c r="K999" s="57"/>
      <c r="L999" s="57"/>
      <c r="M999" s="57"/>
      <c r="N999" s="199"/>
    </row>
    <row r="1000" spans="1:14" x14ac:dyDescent="0.35">
      <c r="A1000" s="57"/>
      <c r="B1000" s="57"/>
      <c r="C1000" s="61"/>
      <c r="D1000" s="61"/>
      <c r="E1000" s="61"/>
      <c r="F1000" s="61"/>
      <c r="G1000" s="57"/>
      <c r="H1000" s="61"/>
      <c r="I1000" s="61"/>
      <c r="J1000" s="61"/>
      <c r="K1000" s="57"/>
      <c r="L1000" s="57"/>
      <c r="M1000" s="57"/>
      <c r="N1000" s="199"/>
    </row>
    <row r="1001" spans="1:14" x14ac:dyDescent="0.35">
      <c r="A1001" s="57"/>
      <c r="B1001" s="57"/>
      <c r="C1001" s="61"/>
      <c r="D1001" s="61"/>
      <c r="E1001" s="61"/>
      <c r="F1001" s="61"/>
      <c r="G1001" s="57"/>
      <c r="H1001" s="61"/>
      <c r="I1001" s="61"/>
      <c r="J1001" s="61"/>
      <c r="K1001" s="57"/>
      <c r="L1001" s="57"/>
      <c r="M1001" s="57"/>
      <c r="N1001" s="199"/>
    </row>
    <row r="1002" spans="1:14" x14ac:dyDescent="0.35">
      <c r="A1002" s="57"/>
      <c r="B1002" s="57"/>
      <c r="C1002" s="61"/>
      <c r="D1002" s="61"/>
      <c r="E1002" s="61"/>
      <c r="F1002" s="61"/>
      <c r="G1002" s="57"/>
      <c r="H1002" s="61"/>
      <c r="I1002" s="61"/>
      <c r="J1002" s="61"/>
      <c r="K1002" s="57"/>
      <c r="L1002" s="57"/>
      <c r="M1002" s="57"/>
      <c r="N1002" s="199"/>
    </row>
    <row r="1003" spans="1:14" x14ac:dyDescent="0.35">
      <c r="A1003" s="57"/>
      <c r="B1003" s="57"/>
      <c r="C1003" s="61"/>
      <c r="D1003" s="61"/>
      <c r="E1003" s="61"/>
      <c r="F1003" s="61"/>
      <c r="G1003" s="57"/>
      <c r="H1003" s="61"/>
      <c r="I1003" s="61"/>
      <c r="J1003" s="61"/>
      <c r="K1003" s="57"/>
      <c r="L1003" s="57"/>
      <c r="M1003" s="57"/>
      <c r="N1003" s="199"/>
    </row>
    <row r="1004" spans="1:14" x14ac:dyDescent="0.35">
      <c r="A1004" s="57"/>
      <c r="B1004" s="57"/>
      <c r="C1004" s="61"/>
      <c r="D1004" s="61"/>
      <c r="E1004" s="61"/>
      <c r="F1004" s="61"/>
      <c r="G1004" s="57"/>
      <c r="H1004" s="61"/>
      <c r="I1004" s="61"/>
      <c r="J1004" s="61"/>
      <c r="K1004" s="57"/>
      <c r="L1004" s="57"/>
      <c r="M1004" s="57"/>
      <c r="N1004" s="199"/>
    </row>
    <row r="1005" spans="1:14" x14ac:dyDescent="0.35">
      <c r="A1005" s="57"/>
      <c r="B1005" s="57"/>
      <c r="C1005" s="61"/>
      <c r="D1005" s="61"/>
      <c r="E1005" s="61"/>
      <c r="F1005" s="61"/>
      <c r="G1005" s="57"/>
      <c r="H1005" s="61"/>
      <c r="I1005" s="61"/>
      <c r="J1005" s="61"/>
      <c r="K1005" s="57"/>
      <c r="L1005" s="57"/>
      <c r="M1005" s="57"/>
      <c r="N1005" s="199"/>
    </row>
    <row r="1006" spans="1:14" x14ac:dyDescent="0.35">
      <c r="A1006" s="57"/>
      <c r="B1006" s="57"/>
      <c r="C1006" s="61"/>
      <c r="D1006" s="61"/>
      <c r="E1006" s="61"/>
      <c r="F1006" s="61"/>
      <c r="G1006" s="57"/>
      <c r="H1006" s="61"/>
      <c r="I1006" s="61"/>
      <c r="J1006" s="61"/>
      <c r="K1006" s="57"/>
      <c r="L1006" s="57"/>
      <c r="M1006" s="57"/>
      <c r="N1006" s="199"/>
    </row>
    <row r="1007" spans="1:14" x14ac:dyDescent="0.35">
      <c r="A1007" s="57"/>
      <c r="B1007" s="57"/>
      <c r="C1007" s="61"/>
      <c r="D1007" s="61"/>
      <c r="E1007" s="61"/>
      <c r="F1007" s="61"/>
      <c r="G1007" s="57"/>
      <c r="H1007" s="61"/>
      <c r="I1007" s="61"/>
      <c r="J1007" s="61"/>
      <c r="K1007" s="57"/>
      <c r="L1007" s="57"/>
      <c r="M1007" s="57"/>
      <c r="N1007" s="199"/>
    </row>
    <row r="1008" spans="1:14" x14ac:dyDescent="0.35">
      <c r="A1008" s="57"/>
      <c r="B1008" s="57"/>
      <c r="C1008" s="61"/>
      <c r="D1008" s="61"/>
      <c r="E1008" s="61"/>
      <c r="F1008" s="61"/>
      <c r="G1008" s="57"/>
      <c r="H1008" s="61"/>
      <c r="I1008" s="61"/>
      <c r="J1008" s="61"/>
      <c r="K1008" s="57"/>
      <c r="L1008" s="57"/>
      <c r="M1008" s="57"/>
      <c r="N1008" s="199"/>
    </row>
    <row r="1009" spans="1:14" x14ac:dyDescent="0.35">
      <c r="A1009" s="57"/>
      <c r="B1009" s="57"/>
      <c r="C1009" s="61"/>
      <c r="D1009" s="61"/>
      <c r="E1009" s="61"/>
      <c r="F1009" s="61"/>
      <c r="G1009" s="57"/>
      <c r="H1009" s="61"/>
      <c r="I1009" s="61"/>
      <c r="J1009" s="61"/>
      <c r="K1009" s="57"/>
      <c r="L1009" s="57"/>
      <c r="M1009" s="57"/>
      <c r="N1009" s="199"/>
    </row>
    <row r="1010" spans="1:14" x14ac:dyDescent="0.35">
      <c r="A1010" s="57"/>
      <c r="B1010" s="57"/>
      <c r="C1010" s="61"/>
      <c r="D1010" s="61"/>
      <c r="E1010" s="61"/>
      <c r="F1010" s="61"/>
      <c r="G1010" s="57"/>
      <c r="H1010" s="61"/>
      <c r="I1010" s="61"/>
      <c r="J1010" s="61"/>
      <c r="K1010" s="57"/>
      <c r="L1010" s="57"/>
      <c r="M1010" s="57"/>
      <c r="N1010" s="199"/>
    </row>
    <row r="1011" spans="1:14" x14ac:dyDescent="0.35">
      <c r="A1011" s="57"/>
      <c r="B1011" s="57"/>
      <c r="C1011" s="61"/>
      <c r="D1011" s="61"/>
      <c r="E1011" s="61"/>
      <c r="F1011" s="61"/>
      <c r="G1011" s="57"/>
      <c r="H1011" s="61"/>
      <c r="I1011" s="61"/>
      <c r="J1011" s="61"/>
      <c r="K1011" s="57"/>
      <c r="L1011" s="57"/>
      <c r="M1011" s="57"/>
      <c r="N1011" s="199"/>
    </row>
    <row r="1012" spans="1:14" x14ac:dyDescent="0.35">
      <c r="A1012" s="57"/>
      <c r="B1012" s="57"/>
      <c r="C1012" s="61"/>
      <c r="D1012" s="61"/>
      <c r="E1012" s="61"/>
      <c r="F1012" s="61"/>
      <c r="G1012" s="57"/>
      <c r="H1012" s="61"/>
      <c r="I1012" s="61"/>
      <c r="J1012" s="61"/>
      <c r="K1012" s="57"/>
      <c r="L1012" s="57"/>
      <c r="M1012" s="57"/>
      <c r="N1012" s="199"/>
    </row>
    <row r="1013" spans="1:14" x14ac:dyDescent="0.35">
      <c r="A1013" s="57"/>
      <c r="B1013" s="57"/>
      <c r="C1013" s="61"/>
      <c r="D1013" s="61"/>
      <c r="E1013" s="61"/>
      <c r="F1013" s="61"/>
      <c r="G1013" s="57"/>
      <c r="H1013" s="61"/>
      <c r="I1013" s="61"/>
      <c r="J1013" s="61"/>
      <c r="K1013" s="57"/>
      <c r="L1013" s="57"/>
      <c r="M1013" s="57"/>
      <c r="N1013" s="199"/>
    </row>
    <row r="1014" spans="1:14" x14ac:dyDescent="0.35">
      <c r="A1014" s="57"/>
      <c r="B1014" s="57"/>
      <c r="C1014" s="61"/>
      <c r="D1014" s="61"/>
      <c r="E1014" s="61"/>
      <c r="F1014" s="61"/>
      <c r="G1014" s="57"/>
      <c r="H1014" s="61"/>
      <c r="I1014" s="61"/>
      <c r="J1014" s="61"/>
      <c r="K1014" s="57"/>
      <c r="L1014" s="57"/>
      <c r="M1014" s="57"/>
      <c r="N1014" s="199"/>
    </row>
    <row r="1015" spans="1:14" x14ac:dyDescent="0.35">
      <c r="A1015" s="57"/>
      <c r="B1015" s="57"/>
      <c r="C1015" s="61"/>
      <c r="D1015" s="61"/>
      <c r="E1015" s="61"/>
      <c r="F1015" s="61"/>
      <c r="G1015" s="57"/>
      <c r="H1015" s="61"/>
      <c r="I1015" s="61"/>
      <c r="J1015" s="61"/>
      <c r="K1015" s="57"/>
      <c r="L1015" s="57"/>
      <c r="M1015" s="57"/>
      <c r="N1015" s="199"/>
    </row>
    <row r="1016" spans="1:14" x14ac:dyDescent="0.35">
      <c r="A1016" s="57"/>
      <c r="B1016" s="57"/>
      <c r="C1016" s="61"/>
      <c r="D1016" s="61"/>
      <c r="E1016" s="61"/>
      <c r="F1016" s="61"/>
      <c r="G1016" s="57"/>
      <c r="H1016" s="61"/>
      <c r="I1016" s="61"/>
      <c r="J1016" s="61"/>
      <c r="K1016" s="57"/>
      <c r="L1016" s="57"/>
      <c r="M1016" s="57"/>
      <c r="N1016" s="199"/>
    </row>
    <row r="1017" spans="1:14" x14ac:dyDescent="0.35">
      <c r="A1017" s="57"/>
      <c r="B1017" s="57"/>
      <c r="C1017" s="61"/>
      <c r="D1017" s="61"/>
      <c r="E1017" s="61"/>
      <c r="F1017" s="61"/>
      <c r="G1017" s="57"/>
      <c r="H1017" s="61"/>
      <c r="I1017" s="61"/>
      <c r="J1017" s="61"/>
      <c r="K1017" s="57"/>
      <c r="L1017" s="57"/>
      <c r="M1017" s="57"/>
      <c r="N1017" s="199"/>
    </row>
    <row r="1018" spans="1:14" x14ac:dyDescent="0.35">
      <c r="A1018" s="57"/>
      <c r="B1018" s="57"/>
      <c r="C1018" s="61"/>
      <c r="D1018" s="61"/>
      <c r="E1018" s="61"/>
      <c r="F1018" s="61"/>
      <c r="G1018" s="57"/>
      <c r="H1018" s="61"/>
      <c r="I1018" s="61"/>
      <c r="J1018" s="61"/>
      <c r="K1018" s="57"/>
      <c r="L1018" s="57"/>
      <c r="M1018" s="57"/>
      <c r="N1018" s="199"/>
    </row>
    <row r="1019" spans="1:14" x14ac:dyDescent="0.35">
      <c r="A1019" s="57"/>
      <c r="B1019" s="57"/>
      <c r="C1019" s="61"/>
      <c r="D1019" s="61"/>
      <c r="E1019" s="61"/>
      <c r="F1019" s="61"/>
      <c r="G1019" s="57"/>
      <c r="H1019" s="61"/>
      <c r="I1019" s="61"/>
      <c r="J1019" s="61"/>
      <c r="K1019" s="57"/>
      <c r="L1019" s="57"/>
      <c r="M1019" s="57"/>
      <c r="N1019" s="199"/>
    </row>
    <row r="1020" spans="1:14" x14ac:dyDescent="0.35">
      <c r="A1020" s="57"/>
      <c r="B1020" s="57"/>
      <c r="C1020" s="61"/>
      <c r="D1020" s="61"/>
      <c r="E1020" s="61"/>
      <c r="F1020" s="61"/>
      <c r="G1020" s="57"/>
      <c r="H1020" s="61"/>
      <c r="I1020" s="61"/>
      <c r="J1020" s="61"/>
      <c r="K1020" s="57"/>
      <c r="L1020" s="57"/>
      <c r="M1020" s="57"/>
      <c r="N1020" s="199"/>
    </row>
    <row r="1021" spans="1:14" x14ac:dyDescent="0.35">
      <c r="A1021" s="57"/>
      <c r="B1021" s="57"/>
      <c r="C1021" s="61"/>
      <c r="D1021" s="61"/>
      <c r="E1021" s="61"/>
      <c r="F1021" s="61"/>
      <c r="G1021" s="57"/>
      <c r="H1021" s="61"/>
      <c r="I1021" s="61"/>
      <c r="J1021" s="61"/>
      <c r="K1021" s="57"/>
      <c r="L1021" s="57"/>
      <c r="M1021" s="57"/>
      <c r="N1021" s="199"/>
    </row>
    <row r="1022" spans="1:14" x14ac:dyDescent="0.35">
      <c r="A1022" s="57"/>
      <c r="B1022" s="57"/>
      <c r="C1022" s="61"/>
      <c r="D1022" s="61"/>
      <c r="E1022" s="61"/>
      <c r="F1022" s="61"/>
      <c r="G1022" s="57"/>
      <c r="H1022" s="61"/>
      <c r="I1022" s="61"/>
      <c r="J1022" s="61"/>
      <c r="K1022" s="57"/>
      <c r="L1022" s="57"/>
      <c r="M1022" s="57"/>
      <c r="N1022" s="199"/>
    </row>
    <row r="1023" spans="1:14" x14ac:dyDescent="0.35">
      <c r="A1023" s="57"/>
      <c r="B1023" s="57"/>
      <c r="C1023" s="61"/>
      <c r="D1023" s="61"/>
      <c r="E1023" s="61"/>
      <c r="F1023" s="61"/>
      <c r="G1023" s="57"/>
      <c r="H1023" s="61"/>
      <c r="I1023" s="61"/>
      <c r="J1023" s="61"/>
      <c r="K1023" s="57"/>
      <c r="L1023" s="57"/>
      <c r="M1023" s="57"/>
      <c r="N1023" s="199"/>
    </row>
    <row r="1024" spans="1:14" x14ac:dyDescent="0.35">
      <c r="A1024" s="57"/>
      <c r="B1024" s="57"/>
      <c r="C1024" s="61"/>
      <c r="D1024" s="61"/>
      <c r="E1024" s="61"/>
      <c r="F1024" s="61"/>
      <c r="G1024" s="57"/>
      <c r="H1024" s="61"/>
      <c r="I1024" s="61"/>
      <c r="J1024" s="61"/>
      <c r="K1024" s="57"/>
      <c r="L1024" s="57"/>
      <c r="M1024" s="57"/>
      <c r="N1024" s="199"/>
    </row>
    <row r="1025" spans="1:14" x14ac:dyDescent="0.35">
      <c r="A1025" s="57"/>
      <c r="B1025" s="57"/>
      <c r="C1025" s="61"/>
      <c r="D1025" s="61"/>
      <c r="E1025" s="61"/>
      <c r="F1025" s="61"/>
      <c r="G1025" s="57"/>
      <c r="H1025" s="61"/>
      <c r="I1025" s="61"/>
      <c r="J1025" s="61"/>
      <c r="K1025" s="57"/>
      <c r="L1025" s="57"/>
      <c r="M1025" s="57"/>
      <c r="N1025" s="199"/>
    </row>
    <row r="1026" spans="1:14" x14ac:dyDescent="0.35">
      <c r="A1026" s="57"/>
      <c r="B1026" s="57"/>
      <c r="C1026" s="61"/>
      <c r="D1026" s="61"/>
      <c r="E1026" s="61"/>
      <c r="F1026" s="61"/>
      <c r="G1026" s="57"/>
      <c r="H1026" s="61"/>
      <c r="I1026" s="61"/>
      <c r="J1026" s="61"/>
      <c r="K1026" s="57"/>
      <c r="L1026" s="57"/>
      <c r="M1026" s="57"/>
      <c r="N1026" s="199"/>
    </row>
    <row r="1027" spans="1:14" x14ac:dyDescent="0.35">
      <c r="A1027" s="57"/>
      <c r="B1027" s="57"/>
      <c r="C1027" s="61"/>
      <c r="D1027" s="61"/>
      <c r="E1027" s="61"/>
      <c r="F1027" s="61"/>
      <c r="G1027" s="57"/>
      <c r="H1027" s="61"/>
      <c r="I1027" s="61"/>
      <c r="J1027" s="61"/>
      <c r="K1027" s="57"/>
      <c r="L1027" s="57"/>
      <c r="M1027" s="57"/>
      <c r="N1027" s="199"/>
    </row>
    <row r="1028" spans="1:14" x14ac:dyDescent="0.35">
      <c r="A1028" s="57"/>
      <c r="B1028" s="57"/>
      <c r="C1028" s="61"/>
      <c r="D1028" s="61"/>
      <c r="E1028" s="61"/>
      <c r="F1028" s="61"/>
      <c r="G1028" s="57"/>
      <c r="H1028" s="61"/>
      <c r="I1028" s="61"/>
      <c r="J1028" s="61"/>
      <c r="K1028" s="57"/>
      <c r="L1028" s="57"/>
      <c r="M1028" s="57"/>
      <c r="N1028" s="199"/>
    </row>
    <row r="1029" spans="1:14" x14ac:dyDescent="0.35">
      <c r="A1029" s="57"/>
      <c r="B1029" s="57"/>
      <c r="C1029" s="61"/>
      <c r="D1029" s="61"/>
      <c r="E1029" s="61"/>
      <c r="F1029" s="61"/>
      <c r="G1029" s="57"/>
      <c r="H1029" s="61"/>
      <c r="I1029" s="61"/>
      <c r="J1029" s="61"/>
      <c r="K1029" s="57"/>
      <c r="L1029" s="57"/>
      <c r="M1029" s="57"/>
      <c r="N1029" s="199"/>
    </row>
    <row r="1030" spans="1:14" x14ac:dyDescent="0.35">
      <c r="A1030" s="57"/>
      <c r="B1030" s="57"/>
      <c r="C1030" s="61"/>
      <c r="D1030" s="61"/>
      <c r="E1030" s="61"/>
      <c r="F1030" s="61"/>
      <c r="G1030" s="57"/>
      <c r="H1030" s="61"/>
      <c r="I1030" s="61"/>
      <c r="J1030" s="61"/>
      <c r="K1030" s="57"/>
      <c r="L1030" s="57"/>
      <c r="M1030" s="57"/>
      <c r="N1030" s="199"/>
    </row>
    <row r="1031" spans="1:14" x14ac:dyDescent="0.35">
      <c r="A1031" s="57"/>
      <c r="B1031" s="57"/>
      <c r="C1031" s="61"/>
      <c r="D1031" s="61"/>
      <c r="E1031" s="61"/>
      <c r="F1031" s="61"/>
      <c r="G1031" s="57"/>
      <c r="H1031" s="61"/>
      <c r="I1031" s="61"/>
      <c r="J1031" s="61"/>
      <c r="K1031" s="57"/>
      <c r="L1031" s="57"/>
      <c r="M1031" s="57"/>
      <c r="N1031" s="199"/>
    </row>
    <row r="1032" spans="1:14" x14ac:dyDescent="0.35">
      <c r="A1032" s="57"/>
      <c r="B1032" s="57"/>
      <c r="C1032" s="61"/>
      <c r="D1032" s="61"/>
      <c r="E1032" s="61"/>
      <c r="F1032" s="61"/>
      <c r="G1032" s="57"/>
      <c r="H1032" s="61"/>
      <c r="I1032" s="61"/>
      <c r="J1032" s="61"/>
      <c r="K1032" s="57"/>
      <c r="L1032" s="57"/>
      <c r="M1032" s="57"/>
      <c r="N1032" s="199"/>
    </row>
    <row r="1033" spans="1:14" x14ac:dyDescent="0.35">
      <c r="A1033" s="57"/>
      <c r="B1033" s="57"/>
      <c r="C1033" s="61"/>
      <c r="D1033" s="61"/>
      <c r="E1033" s="61"/>
      <c r="F1033" s="61"/>
      <c r="G1033" s="57"/>
      <c r="H1033" s="61"/>
      <c r="I1033" s="61"/>
      <c r="J1033" s="61"/>
      <c r="K1033" s="57"/>
      <c r="L1033" s="57"/>
      <c r="M1033" s="57"/>
      <c r="N1033" s="199"/>
    </row>
    <row r="1034" spans="1:14" x14ac:dyDescent="0.35">
      <c r="A1034" s="57"/>
      <c r="B1034" s="57"/>
      <c r="C1034" s="61"/>
      <c r="D1034" s="61"/>
      <c r="E1034" s="61"/>
      <c r="F1034" s="61"/>
      <c r="G1034" s="57"/>
      <c r="H1034" s="61"/>
      <c r="I1034" s="61"/>
      <c r="J1034" s="61"/>
      <c r="K1034" s="57"/>
      <c r="L1034" s="57"/>
      <c r="M1034" s="57"/>
      <c r="N1034" s="199"/>
    </row>
    <row r="1035" spans="1:14" x14ac:dyDescent="0.35">
      <c r="A1035" s="57"/>
      <c r="B1035" s="57"/>
      <c r="C1035" s="61"/>
      <c r="D1035" s="61"/>
      <c r="E1035" s="61"/>
      <c r="F1035" s="61"/>
      <c r="G1035" s="57"/>
      <c r="H1035" s="61"/>
      <c r="I1035" s="61"/>
      <c r="J1035" s="61"/>
      <c r="K1035" s="57"/>
      <c r="L1035" s="57"/>
      <c r="M1035" s="57"/>
      <c r="N1035" s="199"/>
    </row>
    <row r="1036" spans="1:14" x14ac:dyDescent="0.35">
      <c r="A1036" s="57"/>
      <c r="B1036" s="57"/>
      <c r="C1036" s="61"/>
      <c r="D1036" s="61"/>
      <c r="E1036" s="61"/>
      <c r="F1036" s="61"/>
      <c r="G1036" s="57"/>
      <c r="H1036" s="61"/>
      <c r="I1036" s="61"/>
      <c r="J1036" s="61"/>
      <c r="K1036" s="57"/>
      <c r="L1036" s="57"/>
      <c r="M1036" s="57"/>
      <c r="N1036" s="199"/>
    </row>
    <row r="1037" spans="1:14" x14ac:dyDescent="0.35">
      <c r="A1037" s="57"/>
      <c r="B1037" s="57"/>
      <c r="C1037" s="61"/>
      <c r="D1037" s="61"/>
      <c r="E1037" s="61"/>
      <c r="F1037" s="61"/>
      <c r="G1037" s="57"/>
      <c r="H1037" s="61"/>
      <c r="I1037" s="61"/>
      <c r="J1037" s="61"/>
      <c r="K1037" s="57"/>
      <c r="L1037" s="57"/>
      <c r="M1037" s="57"/>
      <c r="N1037" s="199"/>
    </row>
    <row r="1038" spans="1:14" x14ac:dyDescent="0.35">
      <c r="A1038" s="57"/>
      <c r="B1038" s="57"/>
      <c r="C1038" s="61"/>
      <c r="D1038" s="61"/>
      <c r="E1038" s="61"/>
      <c r="F1038" s="61"/>
      <c r="G1038" s="57"/>
      <c r="H1038" s="61"/>
      <c r="I1038" s="61"/>
      <c r="J1038" s="61"/>
      <c r="K1038" s="57"/>
      <c r="L1038" s="57"/>
      <c r="M1038" s="57"/>
      <c r="N1038" s="199"/>
    </row>
    <row r="1039" spans="1:14" x14ac:dyDescent="0.35">
      <c r="A1039" s="57"/>
      <c r="B1039" s="57"/>
      <c r="C1039" s="61"/>
      <c r="D1039" s="61"/>
      <c r="E1039" s="61"/>
      <c r="F1039" s="61"/>
      <c r="G1039" s="57"/>
      <c r="H1039" s="61"/>
      <c r="I1039" s="61"/>
      <c r="J1039" s="61"/>
      <c r="K1039" s="57"/>
      <c r="L1039" s="57"/>
      <c r="M1039" s="57"/>
      <c r="N1039" s="199"/>
    </row>
    <row r="1040" spans="1:14" x14ac:dyDescent="0.35">
      <c r="A1040" s="57"/>
      <c r="B1040" s="57"/>
      <c r="C1040" s="61"/>
      <c r="D1040" s="61"/>
      <c r="E1040" s="61"/>
      <c r="F1040" s="61"/>
      <c r="G1040" s="57"/>
      <c r="H1040" s="61"/>
      <c r="I1040" s="61"/>
      <c r="J1040" s="61"/>
      <c r="K1040" s="57"/>
      <c r="L1040" s="57"/>
      <c r="M1040" s="57"/>
      <c r="N1040" s="199"/>
    </row>
    <row r="1041" spans="1:14" x14ac:dyDescent="0.35">
      <c r="A1041" s="57"/>
      <c r="B1041" s="57"/>
      <c r="C1041" s="61"/>
      <c r="D1041" s="61"/>
      <c r="E1041" s="61"/>
      <c r="F1041" s="61"/>
      <c r="G1041" s="57"/>
      <c r="H1041" s="61"/>
      <c r="I1041" s="61"/>
      <c r="J1041" s="61"/>
      <c r="K1041" s="57"/>
      <c r="L1041" s="57"/>
      <c r="M1041" s="57"/>
      <c r="N1041" s="199"/>
    </row>
    <row r="1042" spans="1:14" x14ac:dyDescent="0.35">
      <c r="A1042" s="57"/>
      <c r="B1042" s="57"/>
      <c r="C1042" s="61"/>
      <c r="D1042" s="61"/>
      <c r="E1042" s="61"/>
      <c r="F1042" s="61"/>
      <c r="G1042" s="57"/>
      <c r="H1042" s="61"/>
      <c r="I1042" s="61"/>
      <c r="J1042" s="61"/>
      <c r="K1042" s="57"/>
      <c r="L1042" s="57"/>
      <c r="M1042" s="57"/>
      <c r="N1042" s="199"/>
    </row>
    <row r="1043" spans="1:14" x14ac:dyDescent="0.35">
      <c r="A1043" s="57"/>
      <c r="B1043" s="57"/>
      <c r="C1043" s="61"/>
      <c r="D1043" s="61"/>
      <c r="E1043" s="61"/>
      <c r="F1043" s="61"/>
      <c r="G1043" s="57"/>
      <c r="H1043" s="61"/>
      <c r="I1043" s="61"/>
      <c r="J1043" s="61"/>
      <c r="K1043" s="57"/>
      <c r="L1043" s="57"/>
      <c r="M1043" s="57"/>
      <c r="N1043" s="199"/>
    </row>
    <row r="1044" spans="1:14" x14ac:dyDescent="0.35">
      <c r="A1044" s="57"/>
      <c r="B1044" s="57"/>
      <c r="C1044" s="61"/>
      <c r="D1044" s="61"/>
      <c r="E1044" s="61"/>
      <c r="F1044" s="61"/>
      <c r="G1044" s="57"/>
      <c r="H1044" s="61"/>
      <c r="I1044" s="61"/>
      <c r="J1044" s="61"/>
      <c r="K1044" s="57"/>
      <c r="L1044" s="57"/>
      <c r="M1044" s="57"/>
      <c r="N1044" s="199"/>
    </row>
    <row r="1045" spans="1:14" x14ac:dyDescent="0.35">
      <c r="A1045" s="57"/>
      <c r="B1045" s="57"/>
      <c r="C1045" s="61"/>
      <c r="D1045" s="61"/>
      <c r="E1045" s="61"/>
      <c r="F1045" s="61"/>
      <c r="G1045" s="57"/>
      <c r="H1045" s="61"/>
      <c r="I1045" s="61"/>
      <c r="J1045" s="61"/>
      <c r="K1045" s="57"/>
      <c r="L1045" s="57"/>
      <c r="M1045" s="57"/>
      <c r="N1045" s="199"/>
    </row>
    <row r="1046" spans="1:14" x14ac:dyDescent="0.35">
      <c r="A1046" s="57"/>
      <c r="B1046" s="57"/>
      <c r="C1046" s="61"/>
      <c r="D1046" s="61"/>
      <c r="E1046" s="61"/>
      <c r="F1046" s="61"/>
      <c r="G1046" s="57"/>
      <c r="H1046" s="61"/>
      <c r="I1046" s="61"/>
      <c r="J1046" s="61"/>
      <c r="K1046" s="57"/>
      <c r="L1046" s="57"/>
      <c r="M1046" s="57"/>
      <c r="N1046" s="199"/>
    </row>
    <row r="1047" spans="1:14" x14ac:dyDescent="0.35">
      <c r="A1047" s="57"/>
      <c r="B1047" s="57"/>
      <c r="C1047" s="61"/>
      <c r="D1047" s="61"/>
      <c r="E1047" s="61"/>
      <c r="F1047" s="61"/>
      <c r="G1047" s="57"/>
      <c r="H1047" s="61"/>
      <c r="I1047" s="61"/>
      <c r="J1047" s="61"/>
      <c r="K1047" s="57"/>
      <c r="L1047" s="57"/>
      <c r="M1047" s="57"/>
      <c r="N1047" s="199"/>
    </row>
    <row r="1048" spans="1:14" x14ac:dyDescent="0.35">
      <c r="A1048" s="57"/>
      <c r="B1048" s="57"/>
      <c r="C1048" s="61"/>
      <c r="D1048" s="61"/>
      <c r="E1048" s="61"/>
      <c r="F1048" s="61"/>
      <c r="G1048" s="57"/>
      <c r="H1048" s="61"/>
      <c r="I1048" s="61"/>
      <c r="J1048" s="61"/>
      <c r="K1048" s="57"/>
      <c r="L1048" s="57"/>
      <c r="M1048" s="57"/>
      <c r="N1048" s="199"/>
    </row>
    <row r="1049" spans="1:14" x14ac:dyDescent="0.35">
      <c r="A1049" s="57"/>
      <c r="B1049" s="57"/>
      <c r="C1049" s="61"/>
      <c r="D1049" s="61"/>
      <c r="E1049" s="61"/>
      <c r="F1049" s="61"/>
      <c r="G1049" s="57"/>
      <c r="H1049" s="61"/>
      <c r="I1049" s="61"/>
      <c r="J1049" s="61"/>
      <c r="K1049" s="57"/>
      <c r="L1049" s="57"/>
      <c r="M1049" s="57"/>
      <c r="N1049" s="199"/>
    </row>
    <row r="1050" spans="1:14" x14ac:dyDescent="0.35">
      <c r="A1050" s="57"/>
      <c r="B1050" s="57"/>
      <c r="C1050" s="61"/>
      <c r="D1050" s="61"/>
      <c r="E1050" s="61"/>
      <c r="F1050" s="61"/>
      <c r="G1050" s="57"/>
      <c r="H1050" s="61"/>
      <c r="I1050" s="61"/>
      <c r="J1050" s="61"/>
      <c r="K1050" s="57"/>
      <c r="L1050" s="57"/>
      <c r="M1050" s="57"/>
      <c r="N1050" s="199"/>
    </row>
    <row r="1051" spans="1:14" x14ac:dyDescent="0.35">
      <c r="A1051" s="57"/>
      <c r="B1051" s="57"/>
      <c r="C1051" s="61"/>
      <c r="D1051" s="61"/>
      <c r="E1051" s="61"/>
      <c r="F1051" s="61"/>
      <c r="G1051" s="57"/>
      <c r="H1051" s="61"/>
      <c r="I1051" s="61"/>
      <c r="J1051" s="61"/>
      <c r="K1051" s="57"/>
      <c r="L1051" s="57"/>
      <c r="M1051" s="57"/>
      <c r="N1051" s="199"/>
    </row>
    <row r="1052" spans="1:14" x14ac:dyDescent="0.35">
      <c r="A1052" s="57"/>
      <c r="B1052" s="57"/>
      <c r="C1052" s="61"/>
      <c r="D1052" s="61"/>
      <c r="E1052" s="61"/>
      <c r="F1052" s="61"/>
      <c r="G1052" s="57"/>
      <c r="H1052" s="61"/>
      <c r="I1052" s="61"/>
      <c r="J1052" s="61"/>
      <c r="K1052" s="57"/>
      <c r="L1052" s="57"/>
      <c r="M1052" s="57"/>
      <c r="N1052" s="199"/>
    </row>
    <row r="1053" spans="1:14" x14ac:dyDescent="0.35">
      <c r="A1053" s="57"/>
      <c r="B1053" s="57"/>
      <c r="C1053" s="61"/>
      <c r="D1053" s="61"/>
      <c r="E1053" s="61"/>
      <c r="F1053" s="61"/>
      <c r="G1053" s="57"/>
      <c r="H1053" s="61"/>
      <c r="I1053" s="61"/>
      <c r="J1053" s="61"/>
      <c r="K1053" s="57"/>
      <c r="L1053" s="57"/>
      <c r="M1053" s="57"/>
      <c r="N1053" s="199"/>
    </row>
    <row r="1054" spans="1:14" x14ac:dyDescent="0.35">
      <c r="A1054" s="57"/>
      <c r="B1054" s="57"/>
      <c r="C1054" s="61"/>
      <c r="D1054" s="61"/>
      <c r="E1054" s="61"/>
      <c r="F1054" s="61"/>
      <c r="G1054" s="57"/>
      <c r="H1054" s="61"/>
      <c r="I1054" s="61"/>
      <c r="J1054" s="61"/>
      <c r="K1054" s="57"/>
      <c r="L1054" s="57"/>
      <c r="M1054" s="57"/>
      <c r="N1054" s="199"/>
    </row>
    <row r="1055" spans="1:14" x14ac:dyDescent="0.35">
      <c r="A1055" s="57"/>
      <c r="B1055" s="57"/>
      <c r="C1055" s="61"/>
      <c r="D1055" s="61"/>
      <c r="E1055" s="61"/>
      <c r="F1055" s="61"/>
      <c r="G1055" s="57"/>
      <c r="H1055" s="61"/>
      <c r="I1055" s="61"/>
      <c r="J1055" s="61"/>
      <c r="K1055" s="57"/>
      <c r="L1055" s="57"/>
      <c r="M1055" s="57"/>
      <c r="N1055" s="199"/>
    </row>
    <row r="1056" spans="1:14" x14ac:dyDescent="0.35">
      <c r="A1056" s="57"/>
      <c r="B1056" s="57"/>
      <c r="C1056" s="61"/>
      <c r="D1056" s="61"/>
      <c r="E1056" s="61"/>
      <c r="F1056" s="61"/>
      <c r="G1056" s="57"/>
      <c r="H1056" s="61"/>
      <c r="I1056" s="61"/>
      <c r="J1056" s="61"/>
      <c r="K1056" s="57"/>
      <c r="L1056" s="57"/>
      <c r="M1056" s="57"/>
      <c r="N1056" s="199"/>
    </row>
    <row r="1057" spans="1:14" x14ac:dyDescent="0.35">
      <c r="A1057" s="57"/>
      <c r="B1057" s="57"/>
      <c r="C1057" s="61"/>
      <c r="D1057" s="61"/>
      <c r="E1057" s="61"/>
      <c r="F1057" s="61"/>
      <c r="G1057" s="57"/>
      <c r="H1057" s="61"/>
      <c r="I1057" s="61"/>
      <c r="J1057" s="61"/>
      <c r="K1057" s="57"/>
      <c r="L1057" s="57"/>
      <c r="M1057" s="57"/>
      <c r="N1057" s="199"/>
    </row>
    <row r="1058" spans="1:14" x14ac:dyDescent="0.35">
      <c r="A1058" s="57"/>
      <c r="B1058" s="57"/>
      <c r="C1058" s="61"/>
      <c r="D1058" s="61"/>
      <c r="E1058" s="61"/>
      <c r="F1058" s="61"/>
      <c r="G1058" s="57"/>
      <c r="H1058" s="61"/>
      <c r="I1058" s="61"/>
      <c r="J1058" s="61"/>
      <c r="K1058" s="57"/>
      <c r="L1058" s="57"/>
      <c r="M1058" s="57"/>
      <c r="N1058" s="199"/>
    </row>
    <row r="1059" spans="1:14" x14ac:dyDescent="0.35">
      <c r="A1059" s="57"/>
      <c r="B1059" s="57"/>
      <c r="C1059" s="61"/>
      <c r="D1059" s="61"/>
      <c r="E1059" s="61"/>
      <c r="F1059" s="61"/>
      <c r="G1059" s="57"/>
      <c r="H1059" s="61"/>
      <c r="I1059" s="61"/>
      <c r="J1059" s="61"/>
      <c r="K1059" s="57"/>
      <c r="L1059" s="57"/>
      <c r="M1059" s="57"/>
      <c r="N1059" s="199"/>
    </row>
    <row r="1060" spans="1:14" x14ac:dyDescent="0.35">
      <c r="A1060" s="57"/>
      <c r="B1060" s="57"/>
      <c r="C1060" s="61"/>
      <c r="D1060" s="61"/>
      <c r="E1060" s="61"/>
      <c r="F1060" s="61"/>
      <c r="G1060" s="57"/>
      <c r="H1060" s="61"/>
      <c r="I1060" s="61"/>
      <c r="J1060" s="61"/>
      <c r="K1060" s="57"/>
      <c r="L1060" s="57"/>
      <c r="M1060" s="57"/>
      <c r="N1060" s="199"/>
    </row>
    <row r="1061" spans="1:14" x14ac:dyDescent="0.35">
      <c r="A1061" s="57"/>
      <c r="B1061" s="57"/>
      <c r="C1061" s="61"/>
      <c r="D1061" s="61"/>
      <c r="E1061" s="61"/>
      <c r="F1061" s="61"/>
      <c r="G1061" s="57"/>
      <c r="H1061" s="61"/>
      <c r="I1061" s="61"/>
      <c r="J1061" s="61"/>
      <c r="K1061" s="57"/>
      <c r="L1061" s="57"/>
      <c r="M1061" s="57"/>
      <c r="N1061" s="199"/>
    </row>
    <row r="1062" spans="1:14" x14ac:dyDescent="0.35">
      <c r="A1062" s="57"/>
      <c r="B1062" s="57"/>
      <c r="C1062" s="61"/>
      <c r="D1062" s="61"/>
      <c r="E1062" s="61"/>
      <c r="F1062" s="61"/>
      <c r="G1062" s="57"/>
      <c r="H1062" s="61"/>
      <c r="I1062" s="61"/>
      <c r="J1062" s="61"/>
      <c r="K1062" s="57"/>
      <c r="L1062" s="57"/>
      <c r="M1062" s="57"/>
      <c r="N1062" s="199"/>
    </row>
    <row r="1063" spans="1:14" x14ac:dyDescent="0.35">
      <c r="A1063" s="57"/>
      <c r="B1063" s="57"/>
      <c r="C1063" s="61"/>
      <c r="D1063" s="61"/>
      <c r="E1063" s="61"/>
      <c r="F1063" s="61"/>
      <c r="G1063" s="57"/>
      <c r="H1063" s="61"/>
      <c r="I1063" s="61"/>
      <c r="J1063" s="61"/>
      <c r="K1063" s="57"/>
      <c r="L1063" s="57"/>
      <c r="M1063" s="57"/>
      <c r="N1063" s="199"/>
    </row>
    <row r="1064" spans="1:14" x14ac:dyDescent="0.35">
      <c r="A1064" s="57"/>
      <c r="B1064" s="57"/>
      <c r="C1064" s="61"/>
      <c r="D1064" s="61"/>
      <c r="E1064" s="61"/>
      <c r="F1064" s="61"/>
      <c r="G1064" s="57"/>
      <c r="H1064" s="61"/>
      <c r="I1064" s="61"/>
      <c r="J1064" s="61"/>
      <c r="K1064" s="57"/>
      <c r="L1064" s="57"/>
      <c r="M1064" s="57"/>
      <c r="N1064" s="199"/>
    </row>
    <row r="1065" spans="1:14" x14ac:dyDescent="0.35">
      <c r="A1065" s="57"/>
      <c r="B1065" s="57"/>
      <c r="C1065" s="61"/>
      <c r="D1065" s="61"/>
      <c r="E1065" s="61"/>
      <c r="F1065" s="61"/>
      <c r="G1065" s="57"/>
      <c r="H1065" s="61"/>
      <c r="I1065" s="61"/>
      <c r="J1065" s="61"/>
      <c r="K1065" s="57"/>
      <c r="L1065" s="57"/>
      <c r="M1065" s="57"/>
      <c r="N1065" s="199"/>
    </row>
    <row r="1066" spans="1:14" x14ac:dyDescent="0.35">
      <c r="A1066" s="57"/>
      <c r="B1066" s="57"/>
      <c r="C1066" s="61"/>
      <c r="D1066" s="61"/>
      <c r="E1066" s="61"/>
      <c r="F1066" s="61"/>
      <c r="G1066" s="57"/>
      <c r="H1066" s="61"/>
      <c r="I1066" s="61"/>
      <c r="J1066" s="61"/>
      <c r="K1066" s="57"/>
      <c r="L1066" s="57"/>
      <c r="M1066" s="57"/>
      <c r="N1066" s="199"/>
    </row>
    <row r="1067" spans="1:14" x14ac:dyDescent="0.35">
      <c r="A1067" s="57"/>
      <c r="B1067" s="57"/>
      <c r="C1067" s="61"/>
      <c r="D1067" s="61"/>
      <c r="E1067" s="61"/>
      <c r="F1067" s="61"/>
      <c r="G1067" s="57"/>
      <c r="H1067" s="61"/>
      <c r="I1067" s="61"/>
      <c r="J1067" s="61"/>
      <c r="K1067" s="57"/>
      <c r="L1067" s="57"/>
      <c r="M1067" s="57"/>
      <c r="N1067" s="199"/>
    </row>
    <row r="1068" spans="1:14" x14ac:dyDescent="0.35">
      <c r="A1068" s="57"/>
      <c r="B1068" s="57"/>
      <c r="C1068" s="61"/>
      <c r="D1068" s="61"/>
      <c r="E1068" s="61"/>
      <c r="F1068" s="61"/>
      <c r="G1068" s="57"/>
      <c r="H1068" s="61"/>
      <c r="I1068" s="61"/>
      <c r="J1068" s="61"/>
      <c r="K1068" s="57"/>
      <c r="L1068" s="57"/>
      <c r="M1068" s="57"/>
      <c r="N1068" s="199"/>
    </row>
    <row r="1069" spans="1:14" x14ac:dyDescent="0.35">
      <c r="A1069" s="57"/>
      <c r="B1069" s="57"/>
      <c r="C1069" s="61"/>
      <c r="D1069" s="61"/>
      <c r="E1069" s="61"/>
      <c r="F1069" s="61"/>
      <c r="G1069" s="57"/>
      <c r="H1069" s="61"/>
      <c r="I1069" s="61"/>
      <c r="J1069" s="61"/>
      <c r="K1069" s="57"/>
      <c r="L1069" s="57"/>
      <c r="M1069" s="57"/>
      <c r="N1069" s="199"/>
    </row>
    <row r="1070" spans="1:14" x14ac:dyDescent="0.35">
      <c r="A1070" s="57"/>
      <c r="B1070" s="57"/>
      <c r="C1070" s="61"/>
      <c r="D1070" s="61"/>
      <c r="E1070" s="61"/>
      <c r="F1070" s="61"/>
      <c r="G1070" s="57"/>
      <c r="H1070" s="61"/>
      <c r="I1070" s="61"/>
      <c r="J1070" s="61"/>
      <c r="K1070" s="57"/>
      <c r="L1070" s="57"/>
      <c r="M1070" s="57"/>
      <c r="N1070" s="199"/>
    </row>
    <row r="1071" spans="1:14" x14ac:dyDescent="0.35">
      <c r="A1071" s="57"/>
      <c r="B1071" s="57"/>
      <c r="C1071" s="61"/>
      <c r="D1071" s="61"/>
      <c r="E1071" s="61"/>
      <c r="F1071" s="61"/>
      <c r="G1071" s="57"/>
      <c r="H1071" s="61"/>
      <c r="I1071" s="61"/>
      <c r="J1071" s="61"/>
      <c r="K1071" s="57"/>
      <c r="L1071" s="57"/>
      <c r="M1071" s="57"/>
      <c r="N1071" s="199"/>
    </row>
    <row r="1072" spans="1:14" x14ac:dyDescent="0.35">
      <c r="A1072" s="57"/>
      <c r="B1072" s="57"/>
      <c r="C1072" s="61"/>
      <c r="D1072" s="61"/>
      <c r="E1072" s="61"/>
      <c r="F1072" s="61"/>
      <c r="G1072" s="57"/>
      <c r="H1072" s="61"/>
      <c r="I1072" s="61"/>
      <c r="J1072" s="61"/>
      <c r="K1072" s="57"/>
      <c r="L1072" s="57"/>
      <c r="M1072" s="57"/>
      <c r="N1072" s="199"/>
    </row>
    <row r="1073" spans="1:14" x14ac:dyDescent="0.35">
      <c r="A1073" s="57"/>
      <c r="B1073" s="57"/>
      <c r="C1073" s="61"/>
      <c r="D1073" s="61"/>
      <c r="E1073" s="61"/>
      <c r="F1073" s="61"/>
      <c r="G1073" s="57"/>
      <c r="H1073" s="61"/>
      <c r="I1073" s="61"/>
      <c r="J1073" s="61"/>
      <c r="K1073" s="57"/>
      <c r="L1073" s="57"/>
      <c r="M1073" s="57"/>
      <c r="N1073" s="199"/>
    </row>
    <row r="1074" spans="1:14" x14ac:dyDescent="0.35">
      <c r="A1074" s="57"/>
      <c r="B1074" s="57"/>
      <c r="C1074" s="61"/>
      <c r="D1074" s="61"/>
      <c r="E1074" s="61"/>
      <c r="F1074" s="61"/>
      <c r="G1074" s="57"/>
      <c r="H1074" s="61"/>
      <c r="I1074" s="61"/>
      <c r="J1074" s="61"/>
      <c r="K1074" s="57"/>
      <c r="L1074" s="57"/>
      <c r="M1074" s="57"/>
      <c r="N1074" s="199"/>
    </row>
    <row r="1075" spans="1:14" x14ac:dyDescent="0.35">
      <c r="A1075" s="57"/>
      <c r="B1075" s="57"/>
      <c r="C1075" s="61"/>
      <c r="D1075" s="61"/>
      <c r="E1075" s="61"/>
      <c r="F1075" s="61"/>
      <c r="G1075" s="57"/>
      <c r="H1075" s="61"/>
      <c r="I1075" s="61"/>
      <c r="J1075" s="61"/>
      <c r="K1075" s="57"/>
      <c r="L1075" s="57"/>
      <c r="M1075" s="57"/>
      <c r="N1075" s="199"/>
    </row>
    <row r="1076" spans="1:14" x14ac:dyDescent="0.35">
      <c r="A1076" s="57"/>
      <c r="B1076" s="57"/>
      <c r="C1076" s="61"/>
      <c r="D1076" s="61"/>
      <c r="E1076" s="61"/>
      <c r="F1076" s="61"/>
      <c r="G1076" s="57"/>
      <c r="H1076" s="61"/>
      <c r="I1076" s="61"/>
      <c r="J1076" s="61"/>
      <c r="K1076" s="57"/>
      <c r="L1076" s="57"/>
      <c r="M1076" s="57"/>
      <c r="N1076" s="199"/>
    </row>
    <row r="1077" spans="1:14" x14ac:dyDescent="0.35">
      <c r="A1077" s="57"/>
      <c r="B1077" s="57"/>
      <c r="C1077" s="61"/>
      <c r="D1077" s="61"/>
      <c r="E1077" s="61"/>
      <c r="F1077" s="61"/>
      <c r="G1077" s="57"/>
      <c r="H1077" s="61"/>
      <c r="I1077" s="61"/>
      <c r="J1077" s="61"/>
      <c r="K1077" s="57"/>
      <c r="L1077" s="57"/>
      <c r="M1077" s="57"/>
      <c r="N1077" s="199"/>
    </row>
    <row r="1078" spans="1:14" x14ac:dyDescent="0.35">
      <c r="A1078" s="57"/>
      <c r="B1078" s="57"/>
      <c r="C1078" s="61"/>
      <c r="D1078" s="61"/>
      <c r="E1078" s="61"/>
      <c r="F1078" s="61"/>
      <c r="G1078" s="57"/>
      <c r="H1078" s="61"/>
      <c r="I1078" s="61"/>
      <c r="J1078" s="61"/>
      <c r="K1078" s="57"/>
      <c r="L1078" s="57"/>
      <c r="M1078" s="57"/>
      <c r="N1078" s="199"/>
    </row>
    <row r="1079" spans="1:14" x14ac:dyDescent="0.35">
      <c r="A1079" s="57"/>
      <c r="B1079" s="57"/>
      <c r="C1079" s="61"/>
      <c r="D1079" s="61"/>
      <c r="E1079" s="61"/>
      <c r="F1079" s="61"/>
      <c r="G1079" s="57"/>
      <c r="H1079" s="61"/>
      <c r="I1079" s="61"/>
      <c r="J1079" s="61"/>
      <c r="K1079" s="57"/>
      <c r="L1079" s="57"/>
      <c r="M1079" s="57"/>
      <c r="N1079" s="199"/>
    </row>
    <row r="1080" spans="1:14" x14ac:dyDescent="0.35">
      <c r="A1080" s="57"/>
      <c r="B1080" s="57"/>
      <c r="C1080" s="61"/>
      <c r="D1080" s="61"/>
      <c r="E1080" s="61"/>
      <c r="F1080" s="61"/>
      <c r="G1080" s="57"/>
      <c r="H1080" s="61"/>
      <c r="I1080" s="61"/>
      <c r="J1080" s="61"/>
      <c r="K1080" s="57"/>
      <c r="L1080" s="57"/>
      <c r="M1080" s="57"/>
      <c r="N1080" s="199"/>
    </row>
    <row r="1081" spans="1:14" x14ac:dyDescent="0.35">
      <c r="A1081" s="57"/>
      <c r="B1081" s="57"/>
      <c r="C1081" s="61"/>
      <c r="D1081" s="61"/>
      <c r="E1081" s="61"/>
      <c r="F1081" s="61"/>
      <c r="G1081" s="57"/>
      <c r="H1081" s="61"/>
      <c r="I1081" s="61"/>
      <c r="J1081" s="61"/>
      <c r="K1081" s="57"/>
      <c r="L1081" s="57"/>
      <c r="M1081" s="57"/>
      <c r="N1081" s="199"/>
    </row>
    <row r="1082" spans="1:14" x14ac:dyDescent="0.35">
      <c r="A1082" s="57"/>
      <c r="B1082" s="57"/>
      <c r="C1082" s="61"/>
      <c r="D1082" s="61"/>
      <c r="E1082" s="61"/>
      <c r="F1082" s="61"/>
      <c r="G1082" s="57"/>
      <c r="H1082" s="61"/>
      <c r="I1082" s="61"/>
      <c r="J1082" s="61"/>
      <c r="K1082" s="57"/>
      <c r="L1082" s="57"/>
      <c r="M1082" s="57"/>
      <c r="N1082" s="199"/>
    </row>
    <row r="1083" spans="1:14" x14ac:dyDescent="0.35">
      <c r="A1083" s="57"/>
      <c r="B1083" s="57"/>
      <c r="C1083" s="61"/>
      <c r="D1083" s="61"/>
      <c r="E1083" s="61"/>
      <c r="F1083" s="61"/>
      <c r="G1083" s="57"/>
      <c r="H1083" s="61"/>
      <c r="I1083" s="61"/>
      <c r="J1083" s="61"/>
      <c r="K1083" s="57"/>
      <c r="L1083" s="57"/>
      <c r="M1083" s="57"/>
      <c r="N1083" s="199"/>
    </row>
    <row r="1084" spans="1:14" x14ac:dyDescent="0.35">
      <c r="A1084" s="57"/>
      <c r="B1084" s="57"/>
      <c r="C1084" s="61"/>
      <c r="D1084" s="61"/>
      <c r="E1084" s="61"/>
      <c r="F1084" s="61"/>
      <c r="G1084" s="57"/>
      <c r="H1084" s="61"/>
      <c r="I1084" s="61"/>
      <c r="J1084" s="61"/>
      <c r="K1084" s="57"/>
      <c r="L1084" s="57"/>
      <c r="M1084" s="57"/>
      <c r="N1084" s="199"/>
    </row>
    <row r="1085" spans="1:14" x14ac:dyDescent="0.35">
      <c r="A1085" s="57"/>
      <c r="B1085" s="57"/>
      <c r="C1085" s="61"/>
      <c r="D1085" s="61"/>
      <c r="E1085" s="61"/>
      <c r="F1085" s="61"/>
      <c r="G1085" s="57"/>
      <c r="H1085" s="61"/>
      <c r="I1085" s="61"/>
      <c r="J1085" s="61"/>
      <c r="K1085" s="57"/>
      <c r="L1085" s="57"/>
      <c r="M1085" s="57"/>
      <c r="N1085" s="199"/>
    </row>
    <row r="1086" spans="1:14" x14ac:dyDescent="0.35">
      <c r="A1086" s="57"/>
      <c r="B1086" s="57"/>
      <c r="C1086" s="61"/>
      <c r="D1086" s="61"/>
      <c r="E1086" s="61"/>
      <c r="F1086" s="61"/>
      <c r="G1086" s="57"/>
      <c r="H1086" s="61"/>
      <c r="I1086" s="61"/>
      <c r="J1086" s="61"/>
      <c r="K1086" s="57"/>
      <c r="L1086" s="57"/>
      <c r="M1086" s="57"/>
      <c r="N1086" s="199"/>
    </row>
    <row r="1087" spans="1:14" x14ac:dyDescent="0.35">
      <c r="A1087" s="57"/>
      <c r="B1087" s="57"/>
      <c r="C1087" s="61"/>
      <c r="D1087" s="61"/>
      <c r="E1087" s="61"/>
      <c r="F1087" s="61"/>
      <c r="G1087" s="57"/>
      <c r="H1087" s="61"/>
      <c r="I1087" s="61"/>
      <c r="J1087" s="61"/>
      <c r="K1087" s="57"/>
      <c r="L1087" s="57"/>
      <c r="M1087" s="57"/>
      <c r="N1087" s="199"/>
    </row>
    <row r="1088" spans="1:14" x14ac:dyDescent="0.35">
      <c r="A1088" s="57"/>
      <c r="B1088" s="57"/>
      <c r="C1088" s="61"/>
      <c r="D1088" s="61"/>
      <c r="E1088" s="61"/>
      <c r="F1088" s="61"/>
      <c r="G1088" s="57"/>
      <c r="H1088" s="61"/>
      <c r="I1088" s="61"/>
      <c r="J1088" s="61"/>
      <c r="K1088" s="57"/>
      <c r="L1088" s="57"/>
      <c r="M1088" s="57"/>
      <c r="N1088" s="199"/>
    </row>
    <row r="1089" spans="1:14" x14ac:dyDescent="0.35">
      <c r="A1089" s="57"/>
      <c r="B1089" s="57"/>
      <c r="C1089" s="61"/>
      <c r="D1089" s="61"/>
      <c r="E1089" s="61"/>
      <c r="F1089" s="61"/>
      <c r="G1089" s="57"/>
      <c r="H1089" s="61"/>
      <c r="I1089" s="61"/>
      <c r="J1089" s="61"/>
      <c r="K1089" s="57"/>
      <c r="L1089" s="57"/>
      <c r="M1089" s="57"/>
      <c r="N1089" s="199"/>
    </row>
    <row r="1090" spans="1:14" x14ac:dyDescent="0.35">
      <c r="A1090" s="57"/>
      <c r="B1090" s="57"/>
      <c r="C1090" s="61"/>
      <c r="D1090" s="61"/>
      <c r="E1090" s="61"/>
      <c r="F1090" s="61"/>
      <c r="G1090" s="57"/>
      <c r="H1090" s="61"/>
      <c r="I1090" s="61"/>
      <c r="J1090" s="61"/>
      <c r="K1090" s="57"/>
      <c r="L1090" s="57"/>
      <c r="M1090" s="57"/>
      <c r="N1090" s="199"/>
    </row>
    <row r="1091" spans="1:14" x14ac:dyDescent="0.35">
      <c r="A1091" s="57"/>
      <c r="B1091" s="57"/>
      <c r="C1091" s="61"/>
      <c r="D1091" s="61"/>
      <c r="E1091" s="61"/>
      <c r="F1091" s="61"/>
      <c r="G1091" s="57"/>
      <c r="H1091" s="61"/>
      <c r="I1091" s="61"/>
      <c r="J1091" s="61"/>
      <c r="K1091" s="57"/>
      <c r="L1091" s="57"/>
      <c r="M1091" s="57"/>
      <c r="N1091" s="199"/>
    </row>
    <row r="1092" spans="1:14" x14ac:dyDescent="0.35">
      <c r="A1092" s="57"/>
      <c r="B1092" s="57"/>
      <c r="C1092" s="61"/>
      <c r="D1092" s="61"/>
      <c r="E1092" s="61"/>
      <c r="F1092" s="61"/>
      <c r="G1092" s="57"/>
      <c r="H1092" s="61"/>
      <c r="I1092" s="61"/>
      <c r="J1092" s="61"/>
      <c r="K1092" s="57"/>
      <c r="L1092" s="57"/>
      <c r="M1092" s="57"/>
      <c r="N1092" s="199"/>
    </row>
    <row r="1093" spans="1:14" x14ac:dyDescent="0.35">
      <c r="A1093" s="57"/>
      <c r="B1093" s="57"/>
      <c r="C1093" s="61"/>
      <c r="D1093" s="61"/>
      <c r="E1093" s="61"/>
      <c r="F1093" s="61"/>
      <c r="G1093" s="57"/>
      <c r="H1093" s="61"/>
      <c r="I1093" s="61"/>
      <c r="J1093" s="61"/>
      <c r="K1093" s="57"/>
      <c r="L1093" s="57"/>
      <c r="M1093" s="57"/>
      <c r="N1093" s="199"/>
    </row>
    <row r="1094" spans="1:14" x14ac:dyDescent="0.35">
      <c r="A1094" s="57"/>
      <c r="B1094" s="57"/>
      <c r="C1094" s="61"/>
      <c r="D1094" s="61"/>
      <c r="E1094" s="61"/>
      <c r="F1094" s="61"/>
      <c r="G1094" s="57"/>
      <c r="H1094" s="61"/>
      <c r="I1094" s="61"/>
      <c r="J1094" s="61"/>
      <c r="K1094" s="57"/>
      <c r="L1094" s="57"/>
      <c r="M1094" s="57"/>
      <c r="N1094" s="199"/>
    </row>
    <row r="1095" spans="1:14" x14ac:dyDescent="0.35">
      <c r="A1095" s="57"/>
      <c r="B1095" s="57"/>
      <c r="C1095" s="61"/>
      <c r="D1095" s="61"/>
      <c r="E1095" s="61"/>
      <c r="F1095" s="61"/>
      <c r="G1095" s="57"/>
      <c r="H1095" s="61"/>
      <c r="I1095" s="61"/>
      <c r="J1095" s="61"/>
      <c r="K1095" s="57"/>
      <c r="L1095" s="57"/>
      <c r="M1095" s="57"/>
      <c r="N1095" s="199"/>
    </row>
    <row r="1096" spans="1:14" x14ac:dyDescent="0.35">
      <c r="A1096" s="57"/>
      <c r="B1096" s="57"/>
      <c r="C1096" s="61"/>
      <c r="D1096" s="61"/>
      <c r="E1096" s="61"/>
      <c r="F1096" s="61"/>
      <c r="G1096" s="57"/>
      <c r="H1096" s="61"/>
      <c r="I1096" s="61"/>
      <c r="J1096" s="61"/>
      <c r="K1096" s="57"/>
      <c r="L1096" s="57"/>
      <c r="M1096" s="57"/>
      <c r="N1096" s="199"/>
    </row>
    <row r="1097" spans="1:14" x14ac:dyDescent="0.35">
      <c r="A1097" s="57"/>
      <c r="B1097" s="57"/>
      <c r="C1097" s="61"/>
      <c r="D1097" s="61"/>
      <c r="E1097" s="61"/>
      <c r="F1097" s="61"/>
      <c r="G1097" s="57"/>
      <c r="H1097" s="61"/>
      <c r="I1097" s="61"/>
      <c r="J1097" s="61"/>
      <c r="K1097" s="57"/>
      <c r="L1097" s="57"/>
      <c r="M1097" s="57"/>
      <c r="N1097" s="199"/>
    </row>
    <row r="1098" spans="1:14" x14ac:dyDescent="0.35">
      <c r="A1098" s="57"/>
      <c r="B1098" s="57"/>
      <c r="C1098" s="61"/>
      <c r="D1098" s="61"/>
      <c r="E1098" s="61"/>
      <c r="F1098" s="61"/>
      <c r="G1098" s="57"/>
      <c r="H1098" s="61"/>
      <c r="I1098" s="61"/>
      <c r="J1098" s="61"/>
      <c r="K1098" s="57"/>
      <c r="L1098" s="57"/>
      <c r="M1098" s="57"/>
      <c r="N1098" s="199"/>
    </row>
    <row r="1099" spans="1:14" x14ac:dyDescent="0.35">
      <c r="A1099" s="57"/>
      <c r="B1099" s="57"/>
      <c r="C1099" s="61"/>
      <c r="D1099" s="61"/>
      <c r="E1099" s="61"/>
      <c r="F1099" s="61"/>
      <c r="G1099" s="57"/>
      <c r="H1099" s="61"/>
      <c r="I1099" s="61"/>
      <c r="J1099" s="61"/>
      <c r="K1099" s="57"/>
      <c r="L1099" s="57"/>
      <c r="M1099" s="57"/>
      <c r="N1099" s="199"/>
    </row>
    <row r="1100" spans="1:14" x14ac:dyDescent="0.35">
      <c r="A1100" s="57"/>
      <c r="B1100" s="57"/>
      <c r="C1100" s="61"/>
      <c r="D1100" s="61"/>
      <c r="E1100" s="61"/>
      <c r="F1100" s="61"/>
      <c r="G1100" s="57"/>
      <c r="H1100" s="61"/>
      <c r="I1100" s="61"/>
      <c r="J1100" s="61"/>
      <c r="K1100" s="57"/>
      <c r="L1100" s="57"/>
      <c r="M1100" s="57"/>
      <c r="N1100" s="199"/>
    </row>
    <row r="1101" spans="1:14" x14ac:dyDescent="0.35">
      <c r="A1101" s="57"/>
      <c r="B1101" s="57"/>
      <c r="C1101" s="61"/>
      <c r="D1101" s="61"/>
      <c r="E1101" s="61"/>
      <c r="F1101" s="61"/>
      <c r="G1101" s="57"/>
      <c r="H1101" s="61"/>
      <c r="I1101" s="61"/>
      <c r="J1101" s="61"/>
      <c r="K1101" s="57"/>
      <c r="L1101" s="57"/>
      <c r="M1101" s="57"/>
      <c r="N1101" s="199"/>
    </row>
    <row r="1102" spans="1:14" x14ac:dyDescent="0.35">
      <c r="A1102" s="57"/>
      <c r="B1102" s="57"/>
      <c r="C1102" s="61"/>
      <c r="D1102" s="61"/>
      <c r="E1102" s="61"/>
      <c r="F1102" s="61"/>
      <c r="G1102" s="57"/>
      <c r="H1102" s="61"/>
      <c r="I1102" s="61"/>
      <c r="J1102" s="61"/>
      <c r="K1102" s="57"/>
      <c r="L1102" s="57"/>
      <c r="M1102" s="57"/>
      <c r="N1102" s="199"/>
    </row>
    <row r="1103" spans="1:14" x14ac:dyDescent="0.35">
      <c r="A1103" s="57"/>
      <c r="B1103" s="57"/>
      <c r="C1103" s="61"/>
      <c r="D1103" s="61"/>
      <c r="E1103" s="61"/>
      <c r="F1103" s="61"/>
      <c r="G1103" s="57"/>
      <c r="H1103" s="61"/>
      <c r="I1103" s="61"/>
      <c r="J1103" s="61"/>
      <c r="K1103" s="57"/>
      <c r="L1103" s="57"/>
      <c r="M1103" s="57"/>
      <c r="N1103" s="199"/>
    </row>
    <row r="1104" spans="1:14" x14ac:dyDescent="0.35">
      <c r="A1104" s="57"/>
      <c r="B1104" s="57"/>
      <c r="C1104" s="61"/>
      <c r="D1104" s="61"/>
      <c r="E1104" s="61"/>
      <c r="F1104" s="61"/>
      <c r="G1104" s="57"/>
      <c r="H1104" s="61"/>
      <c r="I1104" s="61"/>
      <c r="J1104" s="61"/>
      <c r="K1104" s="57"/>
      <c r="L1104" s="57"/>
      <c r="M1104" s="57"/>
      <c r="N1104" s="199"/>
    </row>
    <row r="1105" spans="1:14" x14ac:dyDescent="0.35">
      <c r="A1105" s="57"/>
      <c r="B1105" s="57"/>
      <c r="C1105" s="61"/>
      <c r="D1105" s="61"/>
      <c r="E1105" s="61"/>
      <c r="F1105" s="61"/>
      <c r="G1105" s="57"/>
      <c r="H1105" s="61"/>
      <c r="I1105" s="61"/>
      <c r="J1105" s="61"/>
      <c r="K1105" s="57"/>
      <c r="L1105" s="57"/>
      <c r="M1105" s="57"/>
      <c r="N1105" s="199"/>
    </row>
    <row r="1106" spans="1:14" x14ac:dyDescent="0.35">
      <c r="A1106" s="57"/>
      <c r="B1106" s="57"/>
      <c r="C1106" s="61"/>
      <c r="D1106" s="61"/>
      <c r="E1106" s="61"/>
      <c r="F1106" s="61"/>
      <c r="G1106" s="57"/>
      <c r="H1106" s="61"/>
      <c r="I1106" s="61"/>
      <c r="J1106" s="61"/>
      <c r="K1106" s="57"/>
      <c r="L1106" s="57"/>
      <c r="M1106" s="57"/>
      <c r="N1106" s="199"/>
    </row>
    <row r="1107" spans="1:14" x14ac:dyDescent="0.35">
      <c r="A1107" s="57"/>
      <c r="B1107" s="57"/>
      <c r="C1107" s="61"/>
      <c r="D1107" s="61"/>
      <c r="E1107" s="61"/>
      <c r="F1107" s="61"/>
      <c r="G1107" s="57"/>
      <c r="H1107" s="61"/>
      <c r="I1107" s="61"/>
      <c r="J1107" s="61"/>
      <c r="K1107" s="57"/>
      <c r="L1107" s="57"/>
      <c r="M1107" s="57"/>
      <c r="N1107" s="199"/>
    </row>
    <row r="1108" spans="1:14" x14ac:dyDescent="0.35">
      <c r="A1108" s="57"/>
      <c r="B1108" s="57"/>
      <c r="C1108" s="61"/>
      <c r="D1108" s="61"/>
      <c r="E1108" s="61"/>
      <c r="F1108" s="61"/>
      <c r="G1108" s="57"/>
      <c r="H1108" s="61"/>
      <c r="I1108" s="61"/>
      <c r="J1108" s="61"/>
      <c r="K1108" s="57"/>
      <c r="L1108" s="57"/>
      <c r="M1108" s="57"/>
      <c r="N1108" s="199"/>
    </row>
    <row r="1109" spans="1:14" x14ac:dyDescent="0.35">
      <c r="A1109" s="57"/>
      <c r="B1109" s="57"/>
      <c r="C1109" s="61"/>
      <c r="D1109" s="61"/>
      <c r="E1109" s="61"/>
      <c r="F1109" s="61"/>
      <c r="G1109" s="57"/>
      <c r="H1109" s="61"/>
      <c r="I1109" s="61"/>
      <c r="J1109" s="61"/>
      <c r="K1109" s="57"/>
      <c r="L1109" s="57"/>
      <c r="M1109" s="57"/>
      <c r="N1109" s="199"/>
    </row>
    <row r="1110" spans="1:14" x14ac:dyDescent="0.35">
      <c r="A1110" s="57"/>
      <c r="B1110" s="57"/>
      <c r="C1110" s="61"/>
      <c r="D1110" s="61"/>
      <c r="E1110" s="61"/>
      <c r="F1110" s="61"/>
      <c r="G1110" s="57"/>
      <c r="H1110" s="61"/>
      <c r="I1110" s="61"/>
      <c r="J1110" s="61"/>
      <c r="K1110" s="57"/>
      <c r="L1110" s="57"/>
      <c r="M1110" s="57"/>
      <c r="N1110" s="199"/>
    </row>
    <row r="1111" spans="1:14" x14ac:dyDescent="0.35">
      <c r="A1111" s="57"/>
      <c r="B1111" s="57"/>
      <c r="C1111" s="61"/>
      <c r="D1111" s="61"/>
      <c r="E1111" s="61"/>
      <c r="F1111" s="61"/>
      <c r="G1111" s="57"/>
      <c r="H1111" s="61"/>
      <c r="I1111" s="61"/>
      <c r="J1111" s="61"/>
      <c r="K1111" s="57"/>
      <c r="L1111" s="57"/>
      <c r="M1111" s="57"/>
      <c r="N1111" s="199"/>
    </row>
    <row r="1112" spans="1:14" x14ac:dyDescent="0.35">
      <c r="A1112" s="57"/>
      <c r="B1112" s="57"/>
      <c r="C1112" s="61"/>
      <c r="D1112" s="61"/>
      <c r="E1112" s="61"/>
      <c r="F1112" s="61"/>
      <c r="G1112" s="57"/>
      <c r="H1112" s="61"/>
      <c r="I1112" s="61"/>
      <c r="J1112" s="61"/>
      <c r="K1112" s="57"/>
      <c r="L1112" s="57"/>
      <c r="M1112" s="57"/>
      <c r="N1112" s="199"/>
    </row>
    <row r="1113" spans="1:14" x14ac:dyDescent="0.35">
      <c r="A1113" s="57"/>
      <c r="B1113" s="57"/>
      <c r="C1113" s="61"/>
      <c r="D1113" s="61"/>
      <c r="E1113" s="61"/>
      <c r="F1113" s="61"/>
      <c r="G1113" s="57"/>
      <c r="H1113" s="61"/>
      <c r="I1113" s="61"/>
      <c r="J1113" s="61"/>
      <c r="K1113" s="57"/>
      <c r="L1113" s="57"/>
      <c r="M1113" s="57"/>
      <c r="N1113" s="199"/>
    </row>
    <row r="1114" spans="1:14" x14ac:dyDescent="0.35">
      <c r="A1114" s="57"/>
      <c r="B1114" s="57"/>
      <c r="C1114" s="61"/>
      <c r="D1114" s="61"/>
      <c r="E1114" s="61"/>
      <c r="F1114" s="61"/>
      <c r="G1114" s="57"/>
      <c r="H1114" s="61"/>
      <c r="I1114" s="61"/>
      <c r="J1114" s="61"/>
      <c r="K1114" s="57"/>
      <c r="L1114" s="57"/>
      <c r="M1114" s="57"/>
      <c r="N1114" s="199"/>
    </row>
    <row r="1115" spans="1:14" x14ac:dyDescent="0.35">
      <c r="A1115" s="57"/>
      <c r="B1115" s="57"/>
      <c r="C1115" s="61"/>
      <c r="D1115" s="61"/>
      <c r="E1115" s="61"/>
      <c r="F1115" s="61"/>
      <c r="G1115" s="57"/>
      <c r="H1115" s="61"/>
      <c r="I1115" s="61"/>
      <c r="J1115" s="61"/>
      <c r="K1115" s="57"/>
      <c r="L1115" s="57"/>
      <c r="M1115" s="57"/>
      <c r="N1115" s="199"/>
    </row>
    <row r="1116" spans="1:14" x14ac:dyDescent="0.35">
      <c r="A1116" s="57"/>
      <c r="B1116" s="57"/>
      <c r="C1116" s="61"/>
      <c r="D1116" s="61"/>
      <c r="E1116" s="61"/>
      <c r="F1116" s="61"/>
      <c r="G1116" s="57"/>
      <c r="H1116" s="61"/>
      <c r="I1116" s="61"/>
      <c r="J1116" s="61"/>
      <c r="K1116" s="57"/>
      <c r="L1116" s="57"/>
      <c r="M1116" s="57"/>
      <c r="N1116" s="199"/>
    </row>
    <row r="1117" spans="1:14" x14ac:dyDescent="0.35">
      <c r="A1117" s="57"/>
      <c r="B1117" s="57"/>
      <c r="C1117" s="61"/>
      <c r="D1117" s="61"/>
      <c r="E1117" s="61"/>
      <c r="F1117" s="61"/>
      <c r="G1117" s="57"/>
      <c r="H1117" s="61"/>
      <c r="I1117" s="61"/>
      <c r="J1117" s="61"/>
      <c r="K1117" s="57"/>
      <c r="L1117" s="57"/>
      <c r="M1117" s="57"/>
      <c r="N1117" s="199"/>
    </row>
    <row r="1118" spans="1:14" x14ac:dyDescent="0.35">
      <c r="A1118" s="57"/>
      <c r="B1118" s="57"/>
      <c r="C1118" s="61"/>
      <c r="D1118" s="61"/>
      <c r="E1118" s="61"/>
      <c r="F1118" s="61"/>
      <c r="G1118" s="57"/>
      <c r="H1118" s="61"/>
      <c r="I1118" s="61"/>
      <c r="J1118" s="61"/>
      <c r="K1118" s="57"/>
      <c r="L1118" s="57"/>
      <c r="M1118" s="57"/>
      <c r="N1118" s="199"/>
    </row>
    <row r="1119" spans="1:14" x14ac:dyDescent="0.35">
      <c r="A1119" s="57"/>
      <c r="B1119" s="57"/>
      <c r="C1119" s="61"/>
      <c r="D1119" s="61"/>
      <c r="E1119" s="61"/>
      <c r="F1119" s="61"/>
      <c r="G1119" s="57"/>
      <c r="H1119" s="61"/>
      <c r="I1119" s="61"/>
      <c r="J1119" s="61"/>
      <c r="K1119" s="57"/>
      <c r="L1119" s="57"/>
      <c r="M1119" s="57"/>
      <c r="N1119" s="199"/>
    </row>
    <row r="1120" spans="1:14" x14ac:dyDescent="0.35">
      <c r="A1120" s="57"/>
      <c r="B1120" s="57"/>
      <c r="C1120" s="61"/>
      <c r="D1120" s="61"/>
      <c r="E1120" s="61"/>
      <c r="F1120" s="61"/>
      <c r="G1120" s="57"/>
      <c r="H1120" s="61"/>
      <c r="I1120" s="61"/>
      <c r="J1120" s="61"/>
      <c r="K1120" s="57"/>
      <c r="L1120" s="57"/>
      <c r="M1120" s="57"/>
      <c r="N1120" s="199"/>
    </row>
    <row r="1121" spans="1:14" x14ac:dyDescent="0.35">
      <c r="A1121" s="57"/>
      <c r="B1121" s="57"/>
      <c r="C1121" s="61"/>
      <c r="D1121" s="61"/>
      <c r="E1121" s="61"/>
      <c r="F1121" s="61"/>
      <c r="G1121" s="57"/>
      <c r="H1121" s="61"/>
      <c r="I1121" s="61"/>
      <c r="J1121" s="61"/>
      <c r="K1121" s="57"/>
      <c r="L1121" s="57"/>
      <c r="M1121" s="57"/>
      <c r="N1121" s="199"/>
    </row>
    <row r="1122" spans="1:14" x14ac:dyDescent="0.35">
      <c r="A1122" s="57"/>
      <c r="B1122" s="57"/>
      <c r="C1122" s="61"/>
      <c r="D1122" s="61"/>
      <c r="E1122" s="61"/>
      <c r="F1122" s="61"/>
      <c r="G1122" s="57"/>
      <c r="H1122" s="61"/>
      <c r="I1122" s="61"/>
      <c r="J1122" s="61"/>
      <c r="K1122" s="57"/>
      <c r="L1122" s="57"/>
      <c r="M1122" s="57"/>
      <c r="N1122" s="199"/>
    </row>
    <row r="1123" spans="1:14" x14ac:dyDescent="0.35">
      <c r="A1123" s="57"/>
      <c r="B1123" s="57"/>
      <c r="C1123" s="61"/>
      <c r="D1123" s="61"/>
      <c r="E1123" s="61"/>
      <c r="F1123" s="61"/>
      <c r="G1123" s="57"/>
      <c r="H1123" s="61"/>
      <c r="I1123" s="61"/>
      <c r="J1123" s="61"/>
      <c r="K1123" s="57"/>
      <c r="L1123" s="57"/>
      <c r="M1123" s="57"/>
      <c r="N1123" s="199"/>
    </row>
    <row r="1124" spans="1:14" x14ac:dyDescent="0.35">
      <c r="A1124" s="57"/>
      <c r="B1124" s="57"/>
      <c r="C1124" s="61"/>
      <c r="D1124" s="61"/>
      <c r="E1124" s="61"/>
      <c r="F1124" s="61"/>
      <c r="G1124" s="57"/>
      <c r="H1124" s="61"/>
      <c r="I1124" s="61"/>
      <c r="J1124" s="61"/>
      <c r="K1124" s="57"/>
      <c r="L1124" s="57"/>
      <c r="M1124" s="57"/>
      <c r="N1124" s="199"/>
    </row>
    <row r="1125" spans="1:14" x14ac:dyDescent="0.35">
      <c r="A1125" s="57"/>
      <c r="B1125" s="57"/>
      <c r="C1125" s="61"/>
      <c r="D1125" s="61"/>
      <c r="E1125" s="61"/>
      <c r="F1125" s="61"/>
      <c r="G1125" s="57"/>
      <c r="H1125" s="61"/>
      <c r="I1125" s="61"/>
      <c r="J1125" s="61"/>
      <c r="K1125" s="57"/>
      <c r="L1125" s="57"/>
      <c r="M1125" s="57"/>
      <c r="N1125" s="199"/>
    </row>
    <row r="1126" spans="1:14" x14ac:dyDescent="0.35">
      <c r="A1126" s="57"/>
      <c r="B1126" s="57"/>
      <c r="C1126" s="61"/>
      <c r="D1126" s="61"/>
      <c r="E1126" s="61"/>
      <c r="F1126" s="61"/>
      <c r="G1126" s="57"/>
      <c r="H1126" s="61"/>
      <c r="I1126" s="61"/>
      <c r="J1126" s="61"/>
      <c r="K1126" s="57"/>
      <c r="L1126" s="57"/>
      <c r="M1126" s="57"/>
      <c r="N1126" s="199"/>
    </row>
    <row r="1127" spans="1:14" x14ac:dyDescent="0.35">
      <c r="A1127" s="57"/>
      <c r="B1127" s="57"/>
      <c r="C1127" s="61"/>
      <c r="D1127" s="61"/>
      <c r="E1127" s="61"/>
      <c r="F1127" s="61"/>
      <c r="G1127" s="57"/>
      <c r="H1127" s="61"/>
      <c r="I1127" s="61"/>
      <c r="J1127" s="61"/>
      <c r="K1127" s="57"/>
      <c r="L1127" s="57"/>
      <c r="M1127" s="57"/>
      <c r="N1127" s="199"/>
    </row>
    <row r="1128" spans="1:14" x14ac:dyDescent="0.35">
      <c r="A1128" s="57"/>
      <c r="B1128" s="57"/>
      <c r="C1128" s="61"/>
      <c r="D1128" s="61"/>
      <c r="E1128" s="61"/>
      <c r="F1128" s="61"/>
      <c r="G1128" s="57"/>
      <c r="H1128" s="61"/>
      <c r="I1128" s="61"/>
      <c r="J1128" s="61"/>
      <c r="K1128" s="57"/>
      <c r="L1128" s="57"/>
      <c r="M1128" s="57"/>
      <c r="N1128" s="199"/>
    </row>
    <row r="1129" spans="1:14" x14ac:dyDescent="0.35">
      <c r="A1129" s="57"/>
      <c r="B1129" s="57"/>
      <c r="C1129" s="61"/>
      <c r="D1129" s="61"/>
      <c r="E1129" s="61"/>
      <c r="F1129" s="61"/>
      <c r="G1129" s="57"/>
      <c r="H1129" s="61"/>
      <c r="I1129" s="61"/>
      <c r="J1129" s="61"/>
      <c r="K1129" s="57"/>
      <c r="L1129" s="57"/>
      <c r="M1129" s="57"/>
      <c r="N1129" s="199"/>
    </row>
    <row r="1130" spans="1:14" x14ac:dyDescent="0.35">
      <c r="A1130" s="57"/>
      <c r="B1130" s="57"/>
      <c r="C1130" s="61"/>
      <c r="D1130" s="61"/>
      <c r="E1130" s="61"/>
      <c r="F1130" s="61"/>
      <c r="G1130" s="57"/>
      <c r="H1130" s="61"/>
      <c r="I1130" s="61"/>
      <c r="J1130" s="61"/>
      <c r="K1130" s="57"/>
      <c r="L1130" s="57"/>
      <c r="M1130" s="57"/>
      <c r="N1130" s="199"/>
    </row>
    <row r="1131" spans="1:14" x14ac:dyDescent="0.35">
      <c r="A1131" s="57"/>
      <c r="B1131" s="57"/>
      <c r="C1131" s="61"/>
      <c r="D1131" s="61"/>
      <c r="E1131" s="61"/>
      <c r="F1131" s="61"/>
      <c r="G1131" s="57"/>
      <c r="H1131" s="61"/>
      <c r="I1131" s="61"/>
      <c r="J1131" s="61"/>
      <c r="K1131" s="57"/>
      <c r="L1131" s="57"/>
      <c r="M1131" s="57"/>
      <c r="N1131" s="199"/>
    </row>
    <row r="1132" spans="1:14" x14ac:dyDescent="0.35">
      <c r="A1132" s="57"/>
      <c r="B1132" s="57"/>
      <c r="C1132" s="61"/>
      <c r="D1132" s="61"/>
      <c r="E1132" s="61"/>
      <c r="F1132" s="61"/>
      <c r="G1132" s="57"/>
      <c r="H1132" s="61"/>
      <c r="I1132" s="61"/>
      <c r="J1132" s="61"/>
      <c r="K1132" s="57"/>
      <c r="L1132" s="57"/>
      <c r="M1132" s="57"/>
      <c r="N1132" s="199"/>
    </row>
    <row r="1133" spans="1:14" x14ac:dyDescent="0.35">
      <c r="A1133" s="57"/>
      <c r="B1133" s="57"/>
      <c r="C1133" s="61"/>
      <c r="D1133" s="61"/>
      <c r="E1133" s="61"/>
      <c r="F1133" s="61"/>
      <c r="G1133" s="57"/>
      <c r="H1133" s="61"/>
      <c r="I1133" s="61"/>
      <c r="J1133" s="61"/>
      <c r="K1133" s="57"/>
      <c r="L1133" s="57"/>
      <c r="M1133" s="57"/>
      <c r="N1133" s="199"/>
    </row>
    <row r="1134" spans="1:14" x14ac:dyDescent="0.35">
      <c r="A1134" s="57"/>
      <c r="B1134" s="57"/>
      <c r="C1134" s="61"/>
      <c r="D1134" s="61"/>
      <c r="E1134" s="61"/>
      <c r="F1134" s="61"/>
      <c r="G1134" s="57"/>
      <c r="H1134" s="61"/>
      <c r="I1134" s="61"/>
      <c r="J1134" s="61"/>
      <c r="K1134" s="57"/>
      <c r="L1134" s="57"/>
      <c r="M1134" s="57"/>
      <c r="N1134" s="199"/>
    </row>
    <row r="1135" spans="1:14" x14ac:dyDescent="0.35">
      <c r="A1135" s="57"/>
      <c r="B1135" s="57"/>
      <c r="C1135" s="61"/>
      <c r="D1135" s="61"/>
      <c r="E1135" s="61"/>
      <c r="F1135" s="61"/>
      <c r="G1135" s="57"/>
      <c r="H1135" s="61"/>
      <c r="I1135" s="61"/>
      <c r="J1135" s="61"/>
      <c r="K1135" s="57"/>
      <c r="L1135" s="57"/>
      <c r="M1135" s="57"/>
      <c r="N1135" s="199"/>
    </row>
    <row r="1136" spans="1:14" x14ac:dyDescent="0.35">
      <c r="A1136" s="57"/>
      <c r="B1136" s="57"/>
      <c r="C1136" s="61"/>
      <c r="D1136" s="61"/>
      <c r="E1136" s="61"/>
      <c r="F1136" s="61"/>
      <c r="G1136" s="57"/>
      <c r="H1136" s="61"/>
      <c r="I1136" s="61"/>
      <c r="J1136" s="61"/>
      <c r="K1136" s="57"/>
      <c r="L1136" s="57"/>
      <c r="M1136" s="57"/>
      <c r="N1136" s="199"/>
    </row>
    <row r="1137" spans="1:14" x14ac:dyDescent="0.35">
      <c r="A1137" s="57"/>
      <c r="B1137" s="57"/>
      <c r="C1137" s="61"/>
      <c r="D1137" s="61"/>
      <c r="E1137" s="61"/>
      <c r="F1137" s="61"/>
      <c r="G1137" s="57"/>
      <c r="H1137" s="61"/>
      <c r="I1137" s="61"/>
      <c r="J1137" s="61"/>
      <c r="K1137" s="57"/>
      <c r="L1137" s="57"/>
      <c r="M1137" s="57"/>
      <c r="N1137" s="199"/>
    </row>
    <row r="1138" spans="1:14" x14ac:dyDescent="0.35">
      <c r="A1138" s="57"/>
      <c r="B1138" s="57"/>
      <c r="C1138" s="61"/>
      <c r="D1138" s="61"/>
      <c r="E1138" s="61"/>
      <c r="F1138" s="61"/>
      <c r="G1138" s="57"/>
      <c r="H1138" s="61"/>
      <c r="I1138" s="61"/>
      <c r="J1138" s="61"/>
      <c r="K1138" s="57"/>
      <c r="L1138" s="57"/>
      <c r="M1138" s="57"/>
      <c r="N1138" s="199"/>
    </row>
    <row r="1139" spans="1:14" x14ac:dyDescent="0.35">
      <c r="A1139" s="57"/>
      <c r="B1139" s="57"/>
      <c r="C1139" s="61"/>
      <c r="D1139" s="61"/>
      <c r="E1139" s="61"/>
      <c r="F1139" s="61"/>
      <c r="G1139" s="57"/>
      <c r="H1139" s="61"/>
      <c r="I1139" s="61"/>
      <c r="J1139" s="61"/>
      <c r="K1139" s="57"/>
      <c r="L1139" s="57"/>
      <c r="M1139" s="57"/>
      <c r="N1139" s="199"/>
    </row>
    <row r="1140" spans="1:14" x14ac:dyDescent="0.35">
      <c r="A1140" s="57"/>
      <c r="B1140" s="57"/>
      <c r="C1140" s="61"/>
      <c r="D1140" s="61"/>
      <c r="E1140" s="61"/>
      <c r="F1140" s="61"/>
      <c r="G1140" s="57"/>
      <c r="H1140" s="61"/>
      <c r="I1140" s="61"/>
      <c r="J1140" s="61"/>
      <c r="K1140" s="57"/>
      <c r="L1140" s="57"/>
      <c r="M1140" s="57"/>
      <c r="N1140" s="199"/>
    </row>
    <row r="1141" spans="1:14" x14ac:dyDescent="0.35">
      <c r="A1141" s="57"/>
      <c r="B1141" s="57"/>
      <c r="C1141" s="61"/>
      <c r="D1141" s="61"/>
      <c r="E1141" s="61"/>
      <c r="F1141" s="61"/>
      <c r="G1141" s="57"/>
      <c r="H1141" s="61"/>
      <c r="I1141" s="61"/>
      <c r="J1141" s="61"/>
      <c r="K1141" s="57"/>
      <c r="L1141" s="57"/>
      <c r="M1141" s="57"/>
      <c r="N1141" s="199"/>
    </row>
    <row r="1142" spans="1:14" x14ac:dyDescent="0.35">
      <c r="A1142" s="57"/>
      <c r="B1142" s="57"/>
      <c r="C1142" s="61"/>
      <c r="D1142" s="61"/>
      <c r="E1142" s="61"/>
      <c r="F1142" s="61"/>
      <c r="G1142" s="57"/>
      <c r="H1142" s="61"/>
      <c r="I1142" s="61"/>
      <c r="J1142" s="61"/>
      <c r="K1142" s="57"/>
      <c r="L1142" s="57"/>
      <c r="M1142" s="57"/>
      <c r="N1142" s="199"/>
    </row>
    <row r="1143" spans="1:14" x14ac:dyDescent="0.35">
      <c r="A1143" s="57"/>
      <c r="B1143" s="57"/>
      <c r="C1143" s="61"/>
      <c r="D1143" s="61"/>
      <c r="E1143" s="61"/>
      <c r="F1143" s="61"/>
      <c r="G1143" s="57"/>
      <c r="H1143" s="61"/>
      <c r="I1143" s="61"/>
      <c r="J1143" s="61"/>
      <c r="K1143" s="57"/>
      <c r="L1143" s="57"/>
      <c r="M1143" s="57"/>
      <c r="N1143" s="199"/>
    </row>
    <row r="1144" spans="1:14" x14ac:dyDescent="0.35">
      <c r="A1144" s="57"/>
      <c r="B1144" s="57"/>
      <c r="C1144" s="61"/>
      <c r="D1144" s="61"/>
      <c r="E1144" s="61"/>
      <c r="F1144" s="61"/>
      <c r="G1144" s="57"/>
      <c r="H1144" s="61"/>
      <c r="I1144" s="61"/>
      <c r="J1144" s="61"/>
      <c r="K1144" s="57"/>
      <c r="L1144" s="57"/>
      <c r="M1144" s="57"/>
      <c r="N1144" s="199"/>
    </row>
    <row r="1145" spans="1:14" x14ac:dyDescent="0.35">
      <c r="A1145" s="57"/>
      <c r="B1145" s="57"/>
      <c r="C1145" s="61"/>
      <c r="D1145" s="61"/>
      <c r="E1145" s="61"/>
      <c r="F1145" s="61"/>
      <c r="G1145" s="57"/>
      <c r="H1145" s="61"/>
      <c r="I1145" s="61"/>
      <c r="J1145" s="61"/>
      <c r="K1145" s="57"/>
      <c r="L1145" s="57"/>
      <c r="M1145" s="57"/>
      <c r="N1145" s="199"/>
    </row>
    <row r="1146" spans="1:14" x14ac:dyDescent="0.35">
      <c r="A1146" s="57"/>
      <c r="B1146" s="57"/>
      <c r="C1146" s="61"/>
      <c r="D1146" s="61"/>
      <c r="E1146" s="61"/>
      <c r="F1146" s="61"/>
      <c r="G1146" s="57"/>
      <c r="H1146" s="61"/>
      <c r="I1146" s="61"/>
      <c r="J1146" s="61"/>
      <c r="K1146" s="57"/>
      <c r="L1146" s="57"/>
      <c r="M1146" s="57"/>
      <c r="N1146" s="199"/>
    </row>
    <row r="1147" spans="1:14" x14ac:dyDescent="0.35">
      <c r="A1147" s="57"/>
      <c r="B1147" s="57"/>
      <c r="C1147" s="61"/>
      <c r="D1147" s="61"/>
      <c r="E1147" s="61"/>
      <c r="F1147" s="61"/>
      <c r="G1147" s="57"/>
      <c r="H1147" s="61"/>
      <c r="I1147" s="61"/>
      <c r="J1147" s="61"/>
      <c r="K1147" s="57"/>
      <c r="L1147" s="57"/>
      <c r="M1147" s="57"/>
      <c r="N1147" s="199"/>
    </row>
    <row r="1148" spans="1:14" x14ac:dyDescent="0.35">
      <c r="A1148" s="57"/>
      <c r="B1148" s="57"/>
      <c r="C1148" s="61"/>
      <c r="D1148" s="61"/>
      <c r="E1148" s="61"/>
      <c r="F1148" s="61"/>
      <c r="G1148" s="57"/>
      <c r="H1148" s="61"/>
      <c r="I1148" s="61"/>
      <c r="J1148" s="61"/>
      <c r="K1148" s="57"/>
      <c r="L1148" s="57"/>
      <c r="M1148" s="57"/>
      <c r="N1148" s="199"/>
    </row>
    <row r="1149" spans="1:14" x14ac:dyDescent="0.35">
      <c r="A1149" s="57"/>
      <c r="B1149" s="57"/>
      <c r="C1149" s="61"/>
      <c r="D1149" s="61"/>
      <c r="E1149" s="61"/>
      <c r="F1149" s="61"/>
      <c r="G1149" s="57"/>
      <c r="H1149" s="61"/>
      <c r="I1149" s="61"/>
      <c r="J1149" s="61"/>
      <c r="K1149" s="57"/>
      <c r="L1149" s="57"/>
      <c r="M1149" s="57"/>
      <c r="N1149" s="199"/>
    </row>
    <row r="1150" spans="1:14" x14ac:dyDescent="0.35">
      <c r="A1150" s="57"/>
      <c r="B1150" s="57"/>
      <c r="C1150" s="61"/>
      <c r="D1150" s="61"/>
      <c r="E1150" s="61"/>
      <c r="F1150" s="61"/>
      <c r="G1150" s="57"/>
      <c r="H1150" s="61"/>
      <c r="I1150" s="61"/>
      <c r="J1150" s="61"/>
      <c r="K1150" s="57"/>
      <c r="L1150" s="57"/>
      <c r="M1150" s="57"/>
      <c r="N1150" s="199"/>
    </row>
    <row r="1151" spans="1:14" x14ac:dyDescent="0.35">
      <c r="A1151" s="57"/>
      <c r="B1151" s="57"/>
      <c r="C1151" s="61"/>
      <c r="D1151" s="61"/>
      <c r="E1151" s="61"/>
      <c r="F1151" s="61"/>
      <c r="G1151" s="57"/>
      <c r="H1151" s="61"/>
      <c r="I1151" s="61"/>
      <c r="J1151" s="61"/>
      <c r="K1151" s="57"/>
      <c r="L1151" s="57"/>
      <c r="M1151" s="57"/>
      <c r="N1151" s="199"/>
    </row>
    <row r="1152" spans="1:14" x14ac:dyDescent="0.35">
      <c r="A1152" s="57"/>
      <c r="B1152" s="57"/>
      <c r="C1152" s="61"/>
      <c r="D1152" s="61"/>
      <c r="E1152" s="61"/>
      <c r="F1152" s="61"/>
      <c r="G1152" s="57"/>
      <c r="H1152" s="61"/>
      <c r="I1152" s="61"/>
      <c r="J1152" s="61"/>
      <c r="K1152" s="57"/>
      <c r="L1152" s="57"/>
      <c r="M1152" s="57"/>
      <c r="N1152" s="199"/>
    </row>
    <row r="1153" spans="1:14" x14ac:dyDescent="0.35">
      <c r="A1153" s="57"/>
      <c r="B1153" s="57"/>
      <c r="C1153" s="61"/>
      <c r="D1153" s="61"/>
      <c r="E1153" s="61"/>
      <c r="F1153" s="61"/>
      <c r="G1153" s="57"/>
      <c r="H1153" s="61"/>
      <c r="I1153" s="61"/>
      <c r="J1153" s="61"/>
      <c r="K1153" s="57"/>
      <c r="L1153" s="57"/>
      <c r="M1153" s="57"/>
      <c r="N1153" s="199"/>
    </row>
    <row r="1154" spans="1:14" x14ac:dyDescent="0.35">
      <c r="A1154" s="57"/>
      <c r="B1154" s="57"/>
      <c r="C1154" s="61"/>
      <c r="D1154" s="61"/>
      <c r="E1154" s="61"/>
      <c r="F1154" s="61"/>
      <c r="G1154" s="57"/>
      <c r="H1154" s="61"/>
      <c r="I1154" s="61"/>
      <c r="J1154" s="61"/>
      <c r="K1154" s="57"/>
      <c r="L1154" s="57"/>
      <c r="M1154" s="57"/>
      <c r="N1154" s="199"/>
    </row>
    <row r="1155" spans="1:14" x14ac:dyDescent="0.35">
      <c r="A1155" s="57"/>
      <c r="B1155" s="57"/>
      <c r="C1155" s="61"/>
      <c r="D1155" s="61"/>
      <c r="E1155" s="61"/>
      <c r="F1155" s="61"/>
      <c r="G1155" s="57"/>
      <c r="H1155" s="61"/>
      <c r="I1155" s="61"/>
      <c r="J1155" s="61"/>
      <c r="K1155" s="57"/>
      <c r="L1155" s="57"/>
      <c r="M1155" s="57"/>
      <c r="N1155" s="199"/>
    </row>
    <row r="1156" spans="1:14" x14ac:dyDescent="0.35">
      <c r="A1156" s="57"/>
      <c r="B1156" s="57"/>
      <c r="C1156" s="61"/>
      <c r="D1156" s="61"/>
      <c r="E1156" s="61"/>
      <c r="F1156" s="61"/>
      <c r="G1156" s="57"/>
      <c r="H1156" s="61"/>
      <c r="I1156" s="61"/>
      <c r="J1156" s="61"/>
      <c r="K1156" s="57"/>
      <c r="L1156" s="57"/>
      <c r="M1156" s="57"/>
      <c r="N1156" s="199"/>
    </row>
    <row r="1157" spans="1:14" x14ac:dyDescent="0.35">
      <c r="A1157" s="57"/>
      <c r="B1157" s="57"/>
      <c r="C1157" s="61"/>
      <c r="D1157" s="61"/>
      <c r="E1157" s="61"/>
      <c r="F1157" s="61"/>
      <c r="G1157" s="57"/>
      <c r="H1157" s="61"/>
      <c r="I1157" s="61"/>
      <c r="J1157" s="61"/>
      <c r="K1157" s="57"/>
      <c r="L1157" s="57"/>
      <c r="M1157" s="57"/>
      <c r="N1157" s="199"/>
    </row>
    <row r="1158" spans="1:14" x14ac:dyDescent="0.35">
      <c r="A1158" s="57"/>
      <c r="B1158" s="57"/>
      <c r="C1158" s="61"/>
      <c r="D1158" s="61"/>
      <c r="E1158" s="61"/>
      <c r="F1158" s="61"/>
      <c r="G1158" s="57"/>
      <c r="H1158" s="61"/>
      <c r="I1158" s="61"/>
      <c r="J1158" s="61"/>
      <c r="K1158" s="57"/>
      <c r="L1158" s="57"/>
      <c r="M1158" s="57"/>
      <c r="N1158" s="199"/>
    </row>
    <row r="1159" spans="1:14" x14ac:dyDescent="0.35">
      <c r="A1159" s="57"/>
      <c r="B1159" s="57"/>
      <c r="C1159" s="61"/>
      <c r="D1159" s="61"/>
      <c r="E1159" s="61"/>
      <c r="F1159" s="61"/>
      <c r="G1159" s="57"/>
      <c r="H1159" s="61"/>
      <c r="I1159" s="61"/>
      <c r="J1159" s="61"/>
      <c r="K1159" s="57"/>
      <c r="L1159" s="57"/>
      <c r="M1159" s="57"/>
      <c r="N1159" s="199"/>
    </row>
    <row r="1160" spans="1:14" x14ac:dyDescent="0.35">
      <c r="A1160" s="57"/>
      <c r="B1160" s="57"/>
      <c r="C1160" s="61"/>
      <c r="D1160" s="61"/>
      <c r="E1160" s="61"/>
      <c r="F1160" s="61"/>
      <c r="G1160" s="57"/>
      <c r="H1160" s="61"/>
      <c r="I1160" s="61"/>
      <c r="J1160" s="61"/>
      <c r="K1160" s="57"/>
      <c r="L1160" s="57"/>
      <c r="M1160" s="57"/>
      <c r="N1160" s="199"/>
    </row>
    <row r="1161" spans="1:14" x14ac:dyDescent="0.35">
      <c r="A1161" s="57"/>
      <c r="B1161" s="57"/>
      <c r="C1161" s="61"/>
      <c r="D1161" s="61"/>
      <c r="E1161" s="61"/>
      <c r="F1161" s="61"/>
      <c r="G1161" s="57"/>
      <c r="H1161" s="61"/>
      <c r="I1161" s="61"/>
      <c r="J1161" s="61"/>
      <c r="K1161" s="57"/>
      <c r="L1161" s="57"/>
      <c r="M1161" s="57"/>
      <c r="N1161" s="199"/>
    </row>
    <row r="1162" spans="1:14" x14ac:dyDescent="0.35">
      <c r="A1162" s="57"/>
      <c r="B1162" s="57"/>
      <c r="C1162" s="61"/>
      <c r="D1162" s="61"/>
      <c r="E1162" s="61"/>
      <c r="F1162" s="61"/>
      <c r="G1162" s="57"/>
      <c r="H1162" s="61"/>
      <c r="I1162" s="61"/>
      <c r="J1162" s="61"/>
      <c r="K1162" s="57"/>
      <c r="L1162" s="57"/>
      <c r="M1162" s="57"/>
      <c r="N1162" s="199"/>
    </row>
    <row r="1163" spans="1:14" x14ac:dyDescent="0.35">
      <c r="A1163" s="57"/>
      <c r="B1163" s="57"/>
      <c r="C1163" s="61"/>
      <c r="D1163" s="61"/>
      <c r="E1163" s="61"/>
      <c r="F1163" s="61"/>
      <c r="G1163" s="57"/>
      <c r="H1163" s="61"/>
      <c r="I1163" s="61"/>
      <c r="J1163" s="61"/>
      <c r="K1163" s="57"/>
      <c r="L1163" s="57"/>
      <c r="M1163" s="57"/>
      <c r="N1163" s="199"/>
    </row>
    <row r="1164" spans="1:14" x14ac:dyDescent="0.35">
      <c r="A1164" s="57"/>
      <c r="B1164" s="57"/>
      <c r="C1164" s="61"/>
      <c r="D1164" s="61"/>
      <c r="E1164" s="61"/>
      <c r="F1164" s="61"/>
      <c r="G1164" s="57"/>
      <c r="H1164" s="61"/>
      <c r="I1164" s="61"/>
      <c r="J1164" s="61"/>
      <c r="K1164" s="57"/>
      <c r="L1164" s="57"/>
      <c r="M1164" s="57"/>
      <c r="N1164" s="199"/>
    </row>
    <row r="1165" spans="1:14" x14ac:dyDescent="0.35">
      <c r="A1165" s="57"/>
      <c r="B1165" s="57"/>
      <c r="C1165" s="61"/>
      <c r="D1165" s="61"/>
      <c r="E1165" s="61"/>
      <c r="F1165" s="61"/>
      <c r="G1165" s="57"/>
      <c r="H1165" s="61"/>
      <c r="I1165" s="61"/>
      <c r="J1165" s="61"/>
      <c r="K1165" s="57"/>
      <c r="L1165" s="57"/>
      <c r="M1165" s="57"/>
      <c r="N1165" s="199"/>
    </row>
    <row r="1166" spans="1:14" x14ac:dyDescent="0.35">
      <c r="A1166" s="57"/>
      <c r="B1166" s="57"/>
      <c r="C1166" s="61"/>
      <c r="D1166" s="61"/>
      <c r="E1166" s="61"/>
      <c r="F1166" s="61"/>
      <c r="G1166" s="57"/>
      <c r="H1166" s="61"/>
      <c r="I1166" s="61"/>
      <c r="J1166" s="61"/>
      <c r="K1166" s="57"/>
      <c r="L1166" s="57"/>
      <c r="M1166" s="57"/>
      <c r="N1166" s="199"/>
    </row>
    <row r="1167" spans="1:14" x14ac:dyDescent="0.35">
      <c r="A1167" s="57"/>
      <c r="B1167" s="57"/>
      <c r="C1167" s="61"/>
      <c r="D1167" s="61"/>
      <c r="E1167" s="61"/>
      <c r="F1167" s="61"/>
      <c r="G1167" s="57"/>
      <c r="H1167" s="61"/>
      <c r="I1167" s="61"/>
      <c r="J1167" s="61"/>
      <c r="K1167" s="57"/>
      <c r="L1167" s="57"/>
      <c r="M1167" s="57"/>
      <c r="N1167" s="199"/>
    </row>
    <row r="1168" spans="1:14" x14ac:dyDescent="0.35">
      <c r="A1168" s="57"/>
      <c r="B1168" s="57"/>
      <c r="C1168" s="61"/>
      <c r="D1168" s="61"/>
      <c r="E1168" s="61"/>
      <c r="F1168" s="61"/>
      <c r="G1168" s="57"/>
      <c r="H1168" s="61"/>
      <c r="I1168" s="61"/>
      <c r="J1168" s="61"/>
      <c r="K1168" s="57"/>
      <c r="L1168" s="57"/>
      <c r="M1168" s="57"/>
      <c r="N1168" s="199"/>
    </row>
    <row r="1169" spans="1:14" x14ac:dyDescent="0.35">
      <c r="A1169" s="57"/>
      <c r="B1169" s="57"/>
      <c r="C1169" s="61"/>
      <c r="D1169" s="61"/>
      <c r="E1169" s="61"/>
      <c r="F1169" s="61"/>
      <c r="G1169" s="57"/>
      <c r="H1169" s="61"/>
      <c r="I1169" s="61"/>
      <c r="J1169" s="61"/>
      <c r="K1169" s="57"/>
      <c r="L1169" s="57"/>
      <c r="M1169" s="57"/>
      <c r="N1169" s="199"/>
    </row>
    <row r="1170" spans="1:14" x14ac:dyDescent="0.35">
      <c r="A1170" s="57"/>
      <c r="B1170" s="57"/>
      <c r="C1170" s="61"/>
      <c r="D1170" s="61"/>
      <c r="E1170" s="61"/>
      <c r="F1170" s="61"/>
      <c r="G1170" s="57"/>
      <c r="H1170" s="61"/>
      <c r="I1170" s="61"/>
      <c r="J1170" s="61"/>
      <c r="K1170" s="57"/>
      <c r="L1170" s="57"/>
      <c r="M1170" s="57"/>
      <c r="N1170" s="199"/>
    </row>
    <row r="1171" spans="1:14" x14ac:dyDescent="0.35">
      <c r="A1171" s="57"/>
      <c r="B1171" s="57"/>
      <c r="C1171" s="61"/>
      <c r="D1171" s="61"/>
      <c r="E1171" s="61"/>
      <c r="F1171" s="61"/>
      <c r="G1171" s="57"/>
      <c r="H1171" s="61"/>
      <c r="I1171" s="61"/>
      <c r="J1171" s="61"/>
      <c r="K1171" s="57"/>
      <c r="L1171" s="57"/>
      <c r="M1171" s="57"/>
      <c r="N1171" s="199"/>
    </row>
    <row r="1172" spans="1:14" x14ac:dyDescent="0.35">
      <c r="A1172" s="57"/>
      <c r="B1172" s="57"/>
      <c r="C1172" s="61"/>
      <c r="D1172" s="61"/>
      <c r="E1172" s="61"/>
      <c r="F1172" s="61"/>
      <c r="G1172" s="57"/>
      <c r="H1172" s="61"/>
      <c r="I1172" s="61"/>
      <c r="J1172" s="61"/>
      <c r="K1172" s="57"/>
      <c r="L1172" s="57"/>
      <c r="M1172" s="57"/>
      <c r="N1172" s="199"/>
    </row>
    <row r="1173" spans="1:14" x14ac:dyDescent="0.35">
      <c r="A1173" s="57"/>
      <c r="B1173" s="57"/>
      <c r="C1173" s="61"/>
      <c r="D1173" s="61"/>
      <c r="E1173" s="61"/>
      <c r="F1173" s="61"/>
      <c r="G1173" s="57"/>
      <c r="H1173" s="61"/>
      <c r="I1173" s="61"/>
      <c r="J1173" s="61"/>
      <c r="K1173" s="57"/>
      <c r="L1173" s="57"/>
      <c r="M1173" s="57"/>
      <c r="N1173" s="199"/>
    </row>
    <row r="1174" spans="1:14" x14ac:dyDescent="0.35">
      <c r="A1174" s="57"/>
      <c r="B1174" s="57"/>
      <c r="C1174" s="61"/>
      <c r="D1174" s="61"/>
      <c r="E1174" s="61"/>
      <c r="F1174" s="61"/>
      <c r="G1174" s="57"/>
      <c r="H1174" s="61"/>
      <c r="I1174" s="61"/>
      <c r="J1174" s="61"/>
      <c r="K1174" s="57"/>
      <c r="L1174" s="57"/>
      <c r="M1174" s="57"/>
      <c r="N1174" s="199"/>
    </row>
    <row r="1175" spans="1:14" x14ac:dyDescent="0.35">
      <c r="A1175" s="57"/>
      <c r="B1175" s="57"/>
      <c r="C1175" s="61"/>
      <c r="D1175" s="61"/>
      <c r="E1175" s="61"/>
      <c r="F1175" s="61"/>
      <c r="G1175" s="57"/>
      <c r="H1175" s="61"/>
      <c r="I1175" s="61"/>
      <c r="J1175" s="61"/>
      <c r="K1175" s="57"/>
      <c r="L1175" s="57"/>
      <c r="M1175" s="57"/>
      <c r="N1175" s="199"/>
    </row>
    <row r="1176" spans="1:14" x14ac:dyDescent="0.35">
      <c r="A1176" s="57"/>
      <c r="B1176" s="57"/>
      <c r="C1176" s="61"/>
      <c r="D1176" s="61"/>
      <c r="E1176" s="61"/>
      <c r="F1176" s="61"/>
      <c r="G1176" s="57"/>
      <c r="H1176" s="61"/>
      <c r="I1176" s="61"/>
      <c r="J1176" s="61"/>
      <c r="K1176" s="57"/>
      <c r="L1176" s="57"/>
      <c r="M1176" s="57"/>
      <c r="N1176" s="199"/>
    </row>
    <row r="1177" spans="1:14" x14ac:dyDescent="0.35">
      <c r="A1177" s="57"/>
      <c r="B1177" s="57"/>
      <c r="C1177" s="61"/>
      <c r="D1177" s="61"/>
      <c r="E1177" s="61"/>
      <c r="F1177" s="61"/>
      <c r="G1177" s="57"/>
      <c r="H1177" s="61"/>
      <c r="I1177" s="61"/>
      <c r="J1177" s="61"/>
      <c r="K1177" s="57"/>
      <c r="L1177" s="57"/>
      <c r="M1177" s="57"/>
      <c r="N1177" s="199"/>
    </row>
    <row r="1178" spans="1:14" x14ac:dyDescent="0.35">
      <c r="A1178" s="57"/>
      <c r="B1178" s="57"/>
      <c r="C1178" s="61"/>
      <c r="D1178" s="61"/>
      <c r="E1178" s="61"/>
      <c r="F1178" s="61"/>
      <c r="G1178" s="57"/>
      <c r="H1178" s="61"/>
      <c r="I1178" s="61"/>
      <c r="J1178" s="61"/>
      <c r="K1178" s="57"/>
      <c r="L1178" s="57"/>
      <c r="M1178" s="57"/>
      <c r="N1178" s="199"/>
    </row>
    <row r="1179" spans="1:14" x14ac:dyDescent="0.35">
      <c r="A1179" s="57"/>
      <c r="B1179" s="57"/>
      <c r="C1179" s="61"/>
      <c r="D1179" s="61"/>
      <c r="E1179" s="61"/>
      <c r="F1179" s="61"/>
      <c r="G1179" s="57"/>
      <c r="H1179" s="61"/>
      <c r="I1179" s="61"/>
      <c r="J1179" s="61"/>
      <c r="K1179" s="57"/>
      <c r="L1179" s="57"/>
      <c r="M1179" s="57"/>
      <c r="N1179" s="199"/>
    </row>
    <row r="1180" spans="1:14" x14ac:dyDescent="0.35">
      <c r="A1180" s="57"/>
      <c r="B1180" s="57"/>
      <c r="C1180" s="61"/>
      <c r="D1180" s="61"/>
      <c r="E1180" s="61"/>
      <c r="F1180" s="61"/>
      <c r="G1180" s="57"/>
      <c r="H1180" s="61"/>
      <c r="I1180" s="61"/>
      <c r="J1180" s="61"/>
      <c r="K1180" s="57"/>
      <c r="L1180" s="57"/>
      <c r="M1180" s="57"/>
      <c r="N1180" s="199"/>
    </row>
    <row r="1181" spans="1:14" x14ac:dyDescent="0.35">
      <c r="A1181" s="57"/>
      <c r="B1181" s="57"/>
      <c r="C1181" s="61"/>
      <c r="D1181" s="61"/>
      <c r="E1181" s="61"/>
      <c r="F1181" s="61"/>
      <c r="G1181" s="57"/>
      <c r="H1181" s="61"/>
      <c r="I1181" s="61"/>
      <c r="J1181" s="61"/>
      <c r="K1181" s="57"/>
      <c r="L1181" s="57"/>
      <c r="M1181" s="57"/>
      <c r="N1181" s="199"/>
    </row>
    <row r="1182" spans="1:14" x14ac:dyDescent="0.35">
      <c r="A1182" s="57"/>
      <c r="B1182" s="57"/>
      <c r="C1182" s="61"/>
      <c r="D1182" s="61"/>
      <c r="E1182" s="61"/>
      <c r="F1182" s="61"/>
      <c r="G1182" s="57"/>
      <c r="H1182" s="61"/>
      <c r="I1182" s="61"/>
      <c r="J1182" s="61"/>
      <c r="K1182" s="57"/>
      <c r="L1182" s="57"/>
      <c r="M1182" s="57"/>
      <c r="N1182" s="199"/>
    </row>
    <row r="1183" spans="1:14" x14ac:dyDescent="0.35">
      <c r="A1183" s="57"/>
      <c r="B1183" s="57"/>
      <c r="C1183" s="61"/>
      <c r="D1183" s="61"/>
      <c r="E1183" s="61"/>
      <c r="F1183" s="61"/>
      <c r="G1183" s="57"/>
      <c r="H1183" s="61"/>
      <c r="I1183" s="61"/>
      <c r="J1183" s="61"/>
      <c r="K1183" s="57"/>
      <c r="L1183" s="57"/>
      <c r="M1183" s="57"/>
      <c r="N1183" s="199"/>
    </row>
    <row r="1184" spans="1:14" x14ac:dyDescent="0.35">
      <c r="A1184" s="57"/>
      <c r="B1184" s="57"/>
      <c r="C1184" s="61"/>
      <c r="D1184" s="61"/>
      <c r="E1184" s="61"/>
      <c r="F1184" s="61"/>
      <c r="G1184" s="57"/>
      <c r="H1184" s="61"/>
      <c r="I1184" s="61"/>
      <c r="J1184" s="61"/>
      <c r="K1184" s="57"/>
      <c r="L1184" s="57"/>
      <c r="M1184" s="57"/>
      <c r="N1184" s="199"/>
    </row>
    <row r="1185" spans="1:14" x14ac:dyDescent="0.35">
      <c r="A1185" s="57"/>
      <c r="B1185" s="57"/>
      <c r="C1185" s="61"/>
      <c r="D1185" s="61"/>
      <c r="E1185" s="61"/>
      <c r="F1185" s="61"/>
      <c r="G1185" s="57"/>
      <c r="H1185" s="61"/>
      <c r="I1185" s="61"/>
      <c r="J1185" s="61"/>
      <c r="K1185" s="57"/>
      <c r="L1185" s="57"/>
      <c r="M1185" s="57"/>
      <c r="N1185" s="199"/>
    </row>
    <row r="1186" spans="1:14" x14ac:dyDescent="0.35">
      <c r="A1186" s="57"/>
      <c r="B1186" s="57"/>
      <c r="C1186" s="61"/>
      <c r="D1186" s="61"/>
      <c r="E1186" s="61"/>
      <c r="F1186" s="61"/>
      <c r="G1186" s="57"/>
      <c r="H1186" s="61"/>
      <c r="I1186" s="61"/>
      <c r="J1186" s="61"/>
      <c r="K1186" s="57"/>
      <c r="L1186" s="57"/>
      <c r="M1186" s="57"/>
      <c r="N1186" s="199"/>
    </row>
    <row r="1187" spans="1:14" x14ac:dyDescent="0.35">
      <c r="A1187" s="57"/>
      <c r="B1187" s="57"/>
      <c r="C1187" s="61"/>
      <c r="D1187" s="61"/>
      <c r="E1187" s="61"/>
      <c r="F1187" s="61"/>
      <c r="G1187" s="57"/>
      <c r="H1187" s="61"/>
      <c r="I1187" s="61"/>
      <c r="J1187" s="61"/>
      <c r="K1187" s="57"/>
      <c r="L1187" s="57"/>
      <c r="M1187" s="57"/>
      <c r="N1187" s="199"/>
    </row>
    <row r="1188" spans="1:14" x14ac:dyDescent="0.35">
      <c r="A1188" s="57"/>
      <c r="B1188" s="57"/>
      <c r="C1188" s="61"/>
      <c r="D1188" s="61"/>
      <c r="E1188" s="61"/>
      <c r="F1188" s="61"/>
      <c r="G1188" s="57"/>
      <c r="H1188" s="61"/>
      <c r="I1188" s="61"/>
      <c r="J1188" s="61"/>
      <c r="K1188" s="57"/>
      <c r="L1188" s="57"/>
      <c r="M1188" s="57"/>
      <c r="N1188" s="199"/>
    </row>
    <row r="1189" spans="1:14" x14ac:dyDescent="0.35">
      <c r="A1189" s="57"/>
      <c r="B1189" s="57"/>
      <c r="C1189" s="61"/>
      <c r="D1189" s="61"/>
      <c r="E1189" s="61"/>
      <c r="F1189" s="61"/>
      <c r="G1189" s="57"/>
      <c r="H1189" s="61"/>
      <c r="I1189" s="61"/>
      <c r="J1189" s="61"/>
      <c r="K1189" s="57"/>
      <c r="L1189" s="57"/>
      <c r="M1189" s="57"/>
      <c r="N1189" s="199"/>
    </row>
    <row r="1190" spans="1:14" x14ac:dyDescent="0.35">
      <c r="A1190" s="57"/>
      <c r="B1190" s="57"/>
      <c r="C1190" s="61"/>
      <c r="D1190" s="61"/>
      <c r="E1190" s="61"/>
      <c r="F1190" s="61"/>
      <c r="G1190" s="57"/>
      <c r="H1190" s="61"/>
      <c r="I1190" s="61"/>
      <c r="J1190" s="61"/>
      <c r="K1190" s="57"/>
      <c r="L1190" s="57"/>
      <c r="M1190" s="57"/>
      <c r="N1190" s="199"/>
    </row>
    <row r="1191" spans="1:14" x14ac:dyDescent="0.35">
      <c r="A1191" s="57"/>
      <c r="B1191" s="57"/>
      <c r="C1191" s="61"/>
      <c r="D1191" s="61"/>
      <c r="E1191" s="61"/>
      <c r="F1191" s="61"/>
      <c r="G1191" s="57"/>
      <c r="H1191" s="61"/>
      <c r="I1191" s="61"/>
      <c r="J1191" s="61"/>
      <c r="K1191" s="57"/>
      <c r="L1191" s="57"/>
      <c r="M1191" s="57"/>
      <c r="N1191" s="199"/>
    </row>
    <row r="1192" spans="1:14" x14ac:dyDescent="0.35">
      <c r="A1192" s="57"/>
      <c r="B1192" s="57"/>
      <c r="C1192" s="61"/>
      <c r="D1192" s="61"/>
      <c r="E1192" s="61"/>
      <c r="F1192" s="61"/>
      <c r="G1192" s="57"/>
      <c r="H1192" s="61"/>
      <c r="I1192" s="61"/>
      <c r="J1192" s="61"/>
      <c r="K1192" s="57"/>
      <c r="L1192" s="57"/>
      <c r="M1192" s="57"/>
      <c r="N1192" s="199"/>
    </row>
    <row r="1193" spans="1:14" x14ac:dyDescent="0.35">
      <c r="A1193" s="57"/>
      <c r="B1193" s="57"/>
      <c r="C1193" s="61"/>
      <c r="D1193" s="61"/>
      <c r="E1193" s="61"/>
      <c r="F1193" s="61"/>
      <c r="G1193" s="57"/>
      <c r="H1193" s="61"/>
      <c r="I1193" s="61"/>
      <c r="J1193" s="61"/>
      <c r="K1193" s="57"/>
      <c r="L1193" s="57"/>
      <c r="M1193" s="57"/>
      <c r="N1193" s="199"/>
    </row>
    <row r="1194" spans="1:14" x14ac:dyDescent="0.35">
      <c r="A1194" s="57"/>
      <c r="B1194" s="57"/>
      <c r="C1194" s="61"/>
      <c r="D1194" s="61"/>
      <c r="E1194" s="61"/>
      <c r="F1194" s="61"/>
      <c r="G1194" s="57"/>
      <c r="H1194" s="61"/>
      <c r="I1194" s="61"/>
      <c r="J1194" s="61"/>
      <c r="K1194" s="57"/>
      <c r="L1194" s="57"/>
      <c r="M1194" s="57"/>
      <c r="N1194" s="199"/>
    </row>
    <row r="1195" spans="1:14" x14ac:dyDescent="0.35">
      <c r="A1195" s="57"/>
      <c r="B1195" s="57"/>
      <c r="C1195" s="61"/>
      <c r="D1195" s="61"/>
      <c r="E1195" s="61"/>
      <c r="F1195" s="61"/>
      <c r="G1195" s="57"/>
      <c r="H1195" s="61"/>
      <c r="I1195" s="61"/>
      <c r="J1195" s="61"/>
      <c r="K1195" s="57"/>
      <c r="L1195" s="57"/>
      <c r="M1195" s="57"/>
      <c r="N1195" s="199"/>
    </row>
    <row r="1196" spans="1:14" x14ac:dyDescent="0.35">
      <c r="A1196" s="57"/>
      <c r="B1196" s="57"/>
      <c r="C1196" s="61"/>
      <c r="D1196" s="61"/>
      <c r="E1196" s="61"/>
      <c r="F1196" s="61"/>
      <c r="G1196" s="57"/>
      <c r="H1196" s="61"/>
      <c r="I1196" s="61"/>
      <c r="J1196" s="61"/>
      <c r="K1196" s="57"/>
      <c r="L1196" s="57"/>
      <c r="M1196" s="57"/>
      <c r="N1196" s="199"/>
    </row>
    <row r="1197" spans="1:14" x14ac:dyDescent="0.35">
      <c r="A1197" s="57"/>
      <c r="B1197" s="57"/>
      <c r="C1197" s="61"/>
      <c r="D1197" s="61"/>
      <c r="E1197" s="61"/>
      <c r="F1197" s="61"/>
      <c r="G1197" s="57"/>
      <c r="H1197" s="61"/>
      <c r="I1197" s="61"/>
      <c r="J1197" s="61"/>
      <c r="K1197" s="57"/>
      <c r="L1197" s="57"/>
      <c r="M1197" s="57"/>
      <c r="N1197" s="199"/>
    </row>
    <row r="1198" spans="1:14" x14ac:dyDescent="0.35">
      <c r="A1198" s="57"/>
      <c r="B1198" s="57"/>
      <c r="C1198" s="61"/>
      <c r="D1198" s="61"/>
      <c r="E1198" s="61"/>
      <c r="F1198" s="61"/>
      <c r="G1198" s="57"/>
      <c r="H1198" s="61"/>
      <c r="I1198" s="61"/>
      <c r="J1198" s="61"/>
      <c r="K1198" s="57"/>
      <c r="L1198" s="57"/>
      <c r="M1198" s="57"/>
      <c r="N1198" s="199"/>
    </row>
    <row r="1199" spans="1:14" x14ac:dyDescent="0.35">
      <c r="A1199" s="57"/>
      <c r="B1199" s="57"/>
      <c r="C1199" s="61"/>
      <c r="D1199" s="61"/>
      <c r="E1199" s="61"/>
      <c r="F1199" s="61"/>
      <c r="G1199" s="57"/>
      <c r="H1199" s="61"/>
      <c r="I1199" s="61"/>
      <c r="J1199" s="61"/>
      <c r="K1199" s="57"/>
      <c r="L1199" s="57"/>
      <c r="M1199" s="57"/>
      <c r="N1199" s="199"/>
    </row>
    <row r="1200" spans="1:14" x14ac:dyDescent="0.35">
      <c r="A1200" s="57"/>
      <c r="B1200" s="57"/>
      <c r="C1200" s="61"/>
      <c r="D1200" s="61"/>
      <c r="E1200" s="61"/>
      <c r="F1200" s="61"/>
      <c r="G1200" s="57"/>
      <c r="H1200" s="61"/>
      <c r="I1200" s="61"/>
      <c r="J1200" s="61"/>
      <c r="K1200" s="57"/>
      <c r="L1200" s="57"/>
      <c r="M1200" s="57"/>
      <c r="N1200" s="199"/>
    </row>
    <row r="1201" spans="1:14" x14ac:dyDescent="0.35">
      <c r="A1201" s="57"/>
      <c r="B1201" s="57"/>
      <c r="C1201" s="61"/>
      <c r="D1201" s="61"/>
      <c r="E1201" s="61"/>
      <c r="F1201" s="61"/>
      <c r="G1201" s="57"/>
      <c r="H1201" s="61"/>
      <c r="I1201" s="61"/>
      <c r="J1201" s="61"/>
      <c r="K1201" s="57"/>
      <c r="L1201" s="57"/>
      <c r="M1201" s="57"/>
      <c r="N1201" s="199"/>
    </row>
    <row r="1202" spans="1:14" x14ac:dyDescent="0.35">
      <c r="A1202" s="57"/>
      <c r="B1202" s="57"/>
      <c r="C1202" s="61"/>
      <c r="D1202" s="61"/>
      <c r="E1202" s="61"/>
      <c r="F1202" s="61"/>
      <c r="G1202" s="57"/>
      <c r="H1202" s="61"/>
      <c r="I1202" s="61"/>
      <c r="J1202" s="61"/>
      <c r="K1202" s="57"/>
      <c r="L1202" s="57"/>
      <c r="M1202" s="57"/>
      <c r="N1202" s="199"/>
    </row>
    <row r="1203" spans="1:14" x14ac:dyDescent="0.35">
      <c r="A1203" s="57"/>
      <c r="B1203" s="57"/>
      <c r="C1203" s="61"/>
      <c r="D1203" s="61"/>
      <c r="E1203" s="61"/>
      <c r="F1203" s="61"/>
      <c r="G1203" s="57"/>
      <c r="H1203" s="61"/>
      <c r="I1203" s="61"/>
      <c r="J1203" s="61"/>
      <c r="K1203" s="57"/>
      <c r="L1203" s="57"/>
      <c r="M1203" s="57"/>
      <c r="N1203" s="199"/>
    </row>
    <row r="1204" spans="1:14" x14ac:dyDescent="0.35">
      <c r="A1204" s="57"/>
      <c r="B1204" s="57"/>
      <c r="C1204" s="61"/>
      <c r="D1204" s="61"/>
      <c r="E1204" s="61"/>
      <c r="F1204" s="61"/>
      <c r="G1204" s="57"/>
      <c r="H1204" s="61"/>
      <c r="I1204" s="61"/>
      <c r="J1204" s="61"/>
      <c r="K1204" s="57"/>
      <c r="L1204" s="57"/>
      <c r="M1204" s="57"/>
      <c r="N1204" s="199"/>
    </row>
    <row r="1205" spans="1:14" x14ac:dyDescent="0.35">
      <c r="A1205" s="57"/>
      <c r="B1205" s="57"/>
      <c r="C1205" s="61"/>
      <c r="D1205" s="61"/>
      <c r="E1205" s="61"/>
      <c r="F1205" s="61"/>
      <c r="G1205" s="57"/>
      <c r="H1205" s="61"/>
      <c r="I1205" s="61"/>
      <c r="J1205" s="61"/>
      <c r="K1205" s="57"/>
      <c r="L1205" s="57"/>
      <c r="M1205" s="57"/>
      <c r="N1205" s="199"/>
    </row>
    <row r="1206" spans="1:14" x14ac:dyDescent="0.35">
      <c r="A1206" s="57"/>
      <c r="B1206" s="57"/>
      <c r="C1206" s="61"/>
      <c r="D1206" s="61"/>
      <c r="E1206" s="61"/>
      <c r="F1206" s="61"/>
      <c r="G1206" s="57"/>
      <c r="H1206" s="61"/>
      <c r="I1206" s="61"/>
      <c r="J1206" s="61"/>
      <c r="K1206" s="57"/>
      <c r="L1206" s="57"/>
      <c r="M1206" s="57"/>
      <c r="N1206" s="199"/>
    </row>
    <row r="1207" spans="1:14" x14ac:dyDescent="0.35">
      <c r="A1207" s="57"/>
      <c r="B1207" s="57"/>
      <c r="C1207" s="61"/>
      <c r="D1207" s="61"/>
      <c r="E1207" s="61"/>
      <c r="F1207" s="61"/>
      <c r="G1207" s="57"/>
      <c r="H1207" s="61"/>
      <c r="I1207" s="61"/>
      <c r="J1207" s="61"/>
      <c r="K1207" s="57"/>
      <c r="L1207" s="57"/>
      <c r="M1207" s="57"/>
      <c r="N1207" s="199"/>
    </row>
    <row r="1208" spans="1:14" x14ac:dyDescent="0.35">
      <c r="A1208" s="57"/>
      <c r="B1208" s="57"/>
      <c r="C1208" s="61"/>
      <c r="D1208" s="61"/>
      <c r="E1208" s="61"/>
      <c r="F1208" s="61"/>
      <c r="G1208" s="57"/>
      <c r="H1208" s="61"/>
      <c r="I1208" s="61"/>
      <c r="J1208" s="61"/>
      <c r="K1208" s="57"/>
      <c r="L1208" s="57"/>
      <c r="M1208" s="57"/>
      <c r="N1208" s="199"/>
    </row>
    <row r="1209" spans="1:14" x14ac:dyDescent="0.35">
      <c r="A1209" s="57"/>
      <c r="B1209" s="57"/>
      <c r="C1209" s="61"/>
      <c r="D1209" s="61"/>
      <c r="E1209" s="61"/>
      <c r="F1209" s="61"/>
      <c r="G1209" s="57"/>
      <c r="H1209" s="61"/>
      <c r="I1209" s="61"/>
      <c r="J1209" s="61"/>
      <c r="K1209" s="57"/>
      <c r="L1209" s="57"/>
      <c r="M1209" s="57"/>
      <c r="N1209" s="199"/>
    </row>
    <row r="1210" spans="1:14" x14ac:dyDescent="0.35">
      <c r="A1210" s="57"/>
      <c r="B1210" s="57"/>
      <c r="C1210" s="61"/>
      <c r="D1210" s="61"/>
      <c r="E1210" s="61"/>
      <c r="F1210" s="61"/>
      <c r="G1210" s="57"/>
      <c r="H1210" s="61"/>
      <c r="I1210" s="61"/>
      <c r="J1210" s="61"/>
      <c r="K1210" s="57"/>
      <c r="L1210" s="57"/>
      <c r="M1210" s="57"/>
      <c r="N1210" s="199"/>
    </row>
    <row r="1211" spans="1:14" x14ac:dyDescent="0.35">
      <c r="A1211" s="57"/>
      <c r="B1211" s="57"/>
      <c r="C1211" s="61"/>
      <c r="D1211" s="61"/>
      <c r="E1211" s="61"/>
      <c r="F1211" s="61"/>
      <c r="G1211" s="57"/>
      <c r="H1211" s="61"/>
      <c r="I1211" s="61"/>
      <c r="J1211" s="61"/>
      <c r="K1211" s="57"/>
      <c r="L1211" s="57"/>
      <c r="M1211" s="57"/>
      <c r="N1211" s="199"/>
    </row>
    <row r="1212" spans="1:14" x14ac:dyDescent="0.35">
      <c r="A1212" s="57"/>
      <c r="B1212" s="57"/>
      <c r="C1212" s="61"/>
      <c r="D1212" s="61"/>
      <c r="E1212" s="61"/>
      <c r="F1212" s="61"/>
      <c r="G1212" s="57"/>
      <c r="H1212" s="61"/>
      <c r="I1212" s="61"/>
      <c r="J1212" s="61"/>
      <c r="K1212" s="57"/>
      <c r="L1212" s="57"/>
      <c r="M1212" s="57"/>
      <c r="N1212" s="199"/>
    </row>
    <row r="1213" spans="1:14" x14ac:dyDescent="0.35">
      <c r="A1213" s="57"/>
      <c r="B1213" s="57"/>
      <c r="C1213" s="61"/>
      <c r="D1213" s="61"/>
      <c r="E1213" s="61"/>
      <c r="F1213" s="61"/>
      <c r="G1213" s="57"/>
      <c r="H1213" s="61"/>
      <c r="I1213" s="61"/>
      <c r="J1213" s="61"/>
      <c r="K1213" s="57"/>
      <c r="L1213" s="57"/>
      <c r="M1213" s="57"/>
      <c r="N1213" s="199"/>
    </row>
    <row r="1214" spans="1:14" x14ac:dyDescent="0.35">
      <c r="A1214" s="57"/>
      <c r="B1214" s="57"/>
      <c r="C1214" s="61"/>
      <c r="D1214" s="61"/>
      <c r="E1214" s="61"/>
      <c r="F1214" s="61"/>
      <c r="G1214" s="57"/>
      <c r="H1214" s="61"/>
      <c r="I1214" s="61"/>
      <c r="J1214" s="61"/>
      <c r="K1214" s="57"/>
      <c r="L1214" s="57"/>
      <c r="M1214" s="57"/>
      <c r="N1214" s="199"/>
    </row>
    <row r="1215" spans="1:14" x14ac:dyDescent="0.35">
      <c r="A1215" s="57"/>
      <c r="B1215" s="57"/>
      <c r="C1215" s="61"/>
      <c r="D1215" s="61"/>
      <c r="E1215" s="61"/>
      <c r="F1215" s="61"/>
      <c r="G1215" s="57"/>
      <c r="H1215" s="61"/>
      <c r="I1215" s="61"/>
      <c r="J1215" s="61"/>
      <c r="K1215" s="57"/>
      <c r="L1215" s="57"/>
      <c r="M1215" s="57"/>
      <c r="N1215" s="199"/>
    </row>
    <row r="1216" spans="1:14" x14ac:dyDescent="0.35">
      <c r="A1216" s="57"/>
      <c r="B1216" s="57"/>
      <c r="C1216" s="61"/>
      <c r="D1216" s="61"/>
      <c r="E1216" s="61"/>
      <c r="F1216" s="61"/>
      <c r="G1216" s="57"/>
      <c r="H1216" s="61"/>
      <c r="I1216" s="61"/>
      <c r="J1216" s="61"/>
      <c r="K1216" s="57"/>
      <c r="L1216" s="57"/>
      <c r="M1216" s="57"/>
      <c r="N1216" s="199"/>
    </row>
    <row r="1217" spans="1:14" x14ac:dyDescent="0.35">
      <c r="A1217" s="57"/>
      <c r="B1217" s="57"/>
      <c r="C1217" s="61"/>
      <c r="D1217" s="61"/>
      <c r="E1217" s="61"/>
      <c r="F1217" s="61"/>
      <c r="G1217" s="57"/>
      <c r="H1217" s="61"/>
      <c r="I1217" s="61"/>
      <c r="J1217" s="61"/>
      <c r="K1217" s="57"/>
      <c r="L1217" s="57"/>
      <c r="M1217" s="57"/>
      <c r="N1217" s="199"/>
    </row>
    <row r="1218" spans="1:14" x14ac:dyDescent="0.35">
      <c r="A1218" s="57"/>
      <c r="B1218" s="57"/>
      <c r="C1218" s="61"/>
      <c r="D1218" s="61"/>
      <c r="E1218" s="61"/>
      <c r="F1218" s="61"/>
      <c r="G1218" s="57"/>
      <c r="H1218" s="61"/>
      <c r="I1218" s="61"/>
      <c r="J1218" s="61"/>
      <c r="K1218" s="57"/>
      <c r="L1218" s="57"/>
      <c r="M1218" s="57"/>
      <c r="N1218" s="199"/>
    </row>
    <row r="1219" spans="1:14" x14ac:dyDescent="0.35">
      <c r="A1219" s="57"/>
      <c r="B1219" s="57"/>
      <c r="C1219" s="61"/>
      <c r="D1219" s="61"/>
      <c r="E1219" s="61"/>
      <c r="F1219" s="61"/>
      <c r="G1219" s="57"/>
      <c r="H1219" s="61"/>
      <c r="I1219" s="61"/>
      <c r="J1219" s="61"/>
      <c r="K1219" s="57"/>
      <c r="L1219" s="57"/>
      <c r="M1219" s="57"/>
      <c r="N1219" s="199"/>
    </row>
    <row r="1220" spans="1:14" x14ac:dyDescent="0.35">
      <c r="A1220" s="57"/>
      <c r="B1220" s="57"/>
      <c r="C1220" s="61"/>
      <c r="D1220" s="61"/>
      <c r="E1220" s="61"/>
      <c r="F1220" s="61"/>
      <c r="G1220" s="57"/>
      <c r="H1220" s="61"/>
      <c r="I1220" s="61"/>
      <c r="J1220" s="61"/>
      <c r="K1220" s="57"/>
      <c r="L1220" s="57"/>
      <c r="M1220" s="57"/>
      <c r="N1220" s="199"/>
    </row>
    <row r="1221" spans="1:14" x14ac:dyDescent="0.35">
      <c r="A1221" s="57"/>
      <c r="B1221" s="57"/>
      <c r="C1221" s="61"/>
      <c r="D1221" s="61"/>
      <c r="E1221" s="61"/>
      <c r="F1221" s="61"/>
      <c r="G1221" s="57"/>
      <c r="H1221" s="61"/>
      <c r="I1221" s="61"/>
      <c r="J1221" s="61"/>
      <c r="K1221" s="57"/>
      <c r="L1221" s="57"/>
      <c r="M1221" s="57"/>
      <c r="N1221" s="199"/>
    </row>
    <row r="1222" spans="1:14" x14ac:dyDescent="0.35">
      <c r="A1222" s="57"/>
      <c r="B1222" s="57"/>
      <c r="C1222" s="61"/>
      <c r="D1222" s="61"/>
      <c r="E1222" s="61"/>
      <c r="F1222" s="61"/>
      <c r="G1222" s="57"/>
      <c r="H1222" s="61"/>
      <c r="I1222" s="61"/>
      <c r="J1222" s="61"/>
      <c r="K1222" s="57"/>
      <c r="L1222" s="57"/>
      <c r="M1222" s="57"/>
      <c r="N1222" s="199"/>
    </row>
    <row r="1223" spans="1:14" x14ac:dyDescent="0.35">
      <c r="A1223" s="57"/>
      <c r="B1223" s="57"/>
      <c r="C1223" s="61"/>
      <c r="D1223" s="61"/>
      <c r="E1223" s="61"/>
      <c r="F1223" s="61"/>
      <c r="G1223" s="57"/>
      <c r="H1223" s="61"/>
      <c r="I1223" s="61"/>
      <c r="J1223" s="61"/>
      <c r="K1223" s="57"/>
      <c r="L1223" s="57"/>
      <c r="M1223" s="57"/>
      <c r="N1223" s="199"/>
    </row>
    <row r="1224" spans="1:14" x14ac:dyDescent="0.35">
      <c r="A1224" s="57"/>
      <c r="B1224" s="57"/>
      <c r="C1224" s="61"/>
      <c r="D1224" s="61"/>
      <c r="E1224" s="61"/>
      <c r="F1224" s="61"/>
      <c r="G1224" s="57"/>
      <c r="H1224" s="61"/>
      <c r="I1224" s="61"/>
      <c r="J1224" s="61"/>
      <c r="K1224" s="57"/>
      <c r="L1224" s="57"/>
      <c r="M1224" s="57"/>
      <c r="N1224" s="199"/>
    </row>
    <row r="1225" spans="1:14" x14ac:dyDescent="0.35">
      <c r="A1225" s="57"/>
      <c r="B1225" s="57"/>
      <c r="C1225" s="61"/>
      <c r="D1225" s="61"/>
      <c r="E1225" s="61"/>
      <c r="F1225" s="61"/>
      <c r="G1225" s="57"/>
      <c r="H1225" s="61"/>
      <c r="I1225" s="61"/>
      <c r="J1225" s="61"/>
      <c r="K1225" s="57"/>
      <c r="L1225" s="57"/>
      <c r="M1225" s="57"/>
      <c r="N1225" s="199"/>
    </row>
    <row r="1226" spans="1:14" x14ac:dyDescent="0.35">
      <c r="A1226" s="57"/>
      <c r="B1226" s="57"/>
      <c r="C1226" s="61"/>
      <c r="D1226" s="61"/>
      <c r="E1226" s="61"/>
      <c r="F1226" s="61"/>
      <c r="G1226" s="57"/>
      <c r="H1226" s="61"/>
      <c r="I1226" s="61"/>
      <c r="J1226" s="61"/>
      <c r="K1226" s="57"/>
      <c r="L1226" s="57"/>
      <c r="M1226" s="57"/>
      <c r="N1226" s="199"/>
    </row>
    <row r="1227" spans="1:14" x14ac:dyDescent="0.35">
      <c r="A1227" s="57"/>
      <c r="B1227" s="57"/>
      <c r="C1227" s="61"/>
      <c r="D1227" s="61"/>
      <c r="E1227" s="61"/>
      <c r="F1227" s="61"/>
      <c r="G1227" s="57"/>
      <c r="H1227" s="61"/>
      <c r="I1227" s="61"/>
      <c r="J1227" s="61"/>
      <c r="K1227" s="57"/>
      <c r="L1227" s="57"/>
      <c r="M1227" s="57"/>
      <c r="N1227" s="199"/>
    </row>
    <row r="1228" spans="1:14" x14ac:dyDescent="0.35">
      <c r="A1228" s="57"/>
      <c r="B1228" s="57"/>
      <c r="C1228" s="61"/>
      <c r="D1228" s="61"/>
      <c r="E1228" s="61"/>
      <c r="F1228" s="61"/>
      <c r="G1228" s="57"/>
      <c r="H1228" s="61"/>
      <c r="I1228" s="61"/>
      <c r="J1228" s="61"/>
      <c r="K1228" s="57"/>
      <c r="L1228" s="57"/>
      <c r="M1228" s="57"/>
      <c r="N1228" s="199"/>
    </row>
    <row r="1229" spans="1:14" x14ac:dyDescent="0.35">
      <c r="A1229" s="57"/>
      <c r="B1229" s="57"/>
      <c r="C1229" s="61"/>
      <c r="D1229" s="61"/>
      <c r="E1229" s="61"/>
      <c r="F1229" s="61"/>
      <c r="G1229" s="57"/>
      <c r="H1229" s="61"/>
      <c r="I1229" s="61"/>
      <c r="J1229" s="61"/>
      <c r="K1229" s="57"/>
      <c r="L1229" s="57"/>
      <c r="M1229" s="57"/>
      <c r="N1229" s="199"/>
    </row>
    <row r="1230" spans="1:14" x14ac:dyDescent="0.35">
      <c r="A1230" s="57"/>
      <c r="B1230" s="57"/>
      <c r="C1230" s="61"/>
      <c r="D1230" s="61"/>
      <c r="E1230" s="61"/>
      <c r="F1230" s="61"/>
      <c r="G1230" s="57"/>
      <c r="H1230" s="61"/>
      <c r="I1230" s="61"/>
      <c r="J1230" s="61"/>
      <c r="K1230" s="57"/>
      <c r="L1230" s="57"/>
      <c r="M1230" s="57"/>
      <c r="N1230" s="199"/>
    </row>
    <row r="1231" spans="1:14" x14ac:dyDescent="0.35">
      <c r="A1231" s="57"/>
      <c r="B1231" s="57"/>
      <c r="C1231" s="61"/>
      <c r="D1231" s="61"/>
      <c r="E1231" s="61"/>
      <c r="F1231" s="61"/>
      <c r="G1231" s="57"/>
      <c r="H1231" s="61"/>
      <c r="I1231" s="61"/>
      <c r="J1231" s="61"/>
      <c r="K1231" s="57"/>
      <c r="L1231" s="57"/>
      <c r="M1231" s="57"/>
      <c r="N1231" s="199"/>
    </row>
    <row r="1232" spans="1:14" x14ac:dyDescent="0.35">
      <c r="A1232" s="57"/>
      <c r="B1232" s="57"/>
      <c r="C1232" s="61"/>
      <c r="D1232" s="61"/>
      <c r="E1232" s="61"/>
      <c r="F1232" s="61"/>
      <c r="G1232" s="57"/>
      <c r="H1232" s="61"/>
      <c r="I1232" s="61"/>
      <c r="J1232" s="61"/>
      <c r="K1232" s="57"/>
      <c r="L1232" s="57"/>
      <c r="M1232" s="57"/>
      <c r="N1232" s="199"/>
    </row>
    <row r="1233" spans="1:14" x14ac:dyDescent="0.35">
      <c r="A1233" s="57"/>
      <c r="B1233" s="57"/>
      <c r="C1233" s="61"/>
      <c r="D1233" s="61"/>
      <c r="E1233" s="61"/>
      <c r="F1233" s="61"/>
      <c r="G1233" s="57"/>
      <c r="H1233" s="61"/>
      <c r="I1233" s="61"/>
      <c r="J1233" s="61"/>
      <c r="K1233" s="57"/>
      <c r="L1233" s="57"/>
      <c r="M1233" s="57"/>
      <c r="N1233" s="199"/>
    </row>
    <row r="1234" spans="1:14" x14ac:dyDescent="0.35">
      <c r="A1234" s="57"/>
      <c r="B1234" s="57"/>
      <c r="C1234" s="61"/>
      <c r="D1234" s="61"/>
      <c r="E1234" s="61"/>
      <c r="F1234" s="61"/>
      <c r="G1234" s="57"/>
      <c r="H1234" s="61"/>
      <c r="I1234" s="61"/>
      <c r="J1234" s="61"/>
      <c r="K1234" s="57"/>
      <c r="L1234" s="57"/>
      <c r="M1234" s="57"/>
      <c r="N1234" s="199"/>
    </row>
    <row r="1235" spans="1:14" x14ac:dyDescent="0.35">
      <c r="A1235" s="57"/>
      <c r="B1235" s="57"/>
      <c r="C1235" s="61"/>
      <c r="D1235" s="61"/>
      <c r="E1235" s="61"/>
      <c r="F1235" s="61"/>
      <c r="G1235" s="57"/>
      <c r="H1235" s="61"/>
      <c r="I1235" s="61"/>
      <c r="J1235" s="61"/>
      <c r="K1235" s="57"/>
      <c r="L1235" s="57"/>
      <c r="M1235" s="57"/>
      <c r="N1235" s="199"/>
    </row>
    <row r="1236" spans="1:14" x14ac:dyDescent="0.35">
      <c r="A1236" s="57"/>
      <c r="B1236" s="57"/>
      <c r="C1236" s="61"/>
      <c r="D1236" s="61"/>
      <c r="E1236" s="61"/>
      <c r="F1236" s="61"/>
      <c r="G1236" s="57"/>
      <c r="H1236" s="61"/>
      <c r="I1236" s="61"/>
      <c r="J1236" s="61"/>
      <c r="K1236" s="57"/>
      <c r="L1236" s="57"/>
      <c r="M1236" s="57"/>
      <c r="N1236" s="199"/>
    </row>
    <row r="1237" spans="1:14" x14ac:dyDescent="0.35">
      <c r="A1237" s="57"/>
      <c r="B1237" s="57"/>
      <c r="C1237" s="61"/>
      <c r="D1237" s="61"/>
      <c r="E1237" s="61"/>
      <c r="F1237" s="61"/>
      <c r="G1237" s="57"/>
      <c r="H1237" s="61"/>
      <c r="I1237" s="61"/>
      <c r="J1237" s="61"/>
      <c r="K1237" s="57"/>
      <c r="L1237" s="57"/>
      <c r="M1237" s="57"/>
      <c r="N1237" s="199"/>
    </row>
    <row r="1238" spans="1:14" x14ac:dyDescent="0.35">
      <c r="A1238" s="57"/>
      <c r="B1238" s="57"/>
      <c r="C1238" s="61"/>
      <c r="D1238" s="61"/>
      <c r="E1238" s="61"/>
      <c r="F1238" s="61"/>
      <c r="G1238" s="57"/>
      <c r="H1238" s="61"/>
      <c r="I1238" s="61"/>
      <c r="J1238" s="61"/>
      <c r="K1238" s="57"/>
      <c r="L1238" s="57"/>
      <c r="M1238" s="57"/>
      <c r="N1238" s="199"/>
    </row>
    <row r="1239" spans="1:14" x14ac:dyDescent="0.35">
      <c r="A1239" s="57"/>
      <c r="B1239" s="57"/>
      <c r="C1239" s="61"/>
      <c r="D1239" s="61"/>
      <c r="E1239" s="61"/>
      <c r="F1239" s="61"/>
      <c r="G1239" s="57"/>
      <c r="H1239" s="61"/>
      <c r="I1239" s="61"/>
      <c r="J1239" s="61"/>
      <c r="K1239" s="57"/>
      <c r="L1239" s="57"/>
      <c r="M1239" s="57"/>
      <c r="N1239" s="199"/>
    </row>
    <row r="1240" spans="1:14" x14ac:dyDescent="0.35">
      <c r="A1240" s="57"/>
      <c r="B1240" s="57"/>
      <c r="C1240" s="61"/>
      <c r="D1240" s="61"/>
      <c r="E1240" s="61"/>
      <c r="F1240" s="61"/>
      <c r="G1240" s="57"/>
      <c r="H1240" s="61"/>
      <c r="I1240" s="61"/>
      <c r="J1240" s="61"/>
      <c r="K1240" s="57"/>
      <c r="L1240" s="57"/>
      <c r="M1240" s="57"/>
      <c r="N1240" s="199"/>
    </row>
    <row r="1241" spans="1:14" x14ac:dyDescent="0.35">
      <c r="A1241" s="57"/>
      <c r="B1241" s="57"/>
      <c r="C1241" s="61"/>
      <c r="D1241" s="61"/>
      <c r="E1241" s="61"/>
      <c r="F1241" s="61"/>
      <c r="G1241" s="57"/>
      <c r="H1241" s="61"/>
      <c r="I1241" s="61"/>
      <c r="J1241" s="61"/>
      <c r="K1241" s="57"/>
      <c r="L1241" s="57"/>
      <c r="M1241" s="57"/>
      <c r="N1241" s="199"/>
    </row>
    <row r="1242" spans="1:14" x14ac:dyDescent="0.35">
      <c r="A1242" s="57"/>
      <c r="B1242" s="57"/>
      <c r="C1242" s="61"/>
      <c r="D1242" s="61"/>
      <c r="E1242" s="61"/>
      <c r="F1242" s="61"/>
      <c r="G1242" s="57"/>
      <c r="H1242" s="61"/>
      <c r="I1242" s="61"/>
      <c r="J1242" s="61"/>
      <c r="K1242" s="57"/>
      <c r="L1242" s="57"/>
      <c r="M1242" s="57"/>
      <c r="N1242" s="199"/>
    </row>
    <row r="1243" spans="1:14" x14ac:dyDescent="0.35">
      <c r="A1243" s="57"/>
      <c r="B1243" s="57"/>
      <c r="C1243" s="61"/>
      <c r="D1243" s="61"/>
      <c r="E1243" s="61"/>
      <c r="F1243" s="61"/>
      <c r="G1243" s="57"/>
      <c r="H1243" s="61"/>
      <c r="I1243" s="61"/>
      <c r="J1243" s="61"/>
      <c r="K1243" s="57"/>
      <c r="L1243" s="57"/>
      <c r="M1243" s="57"/>
      <c r="N1243" s="199"/>
    </row>
    <row r="1244" spans="1:14" x14ac:dyDescent="0.35">
      <c r="A1244" s="57"/>
      <c r="B1244" s="57"/>
      <c r="C1244" s="61"/>
      <c r="D1244" s="61"/>
      <c r="E1244" s="61"/>
      <c r="F1244" s="61"/>
      <c r="G1244" s="57"/>
      <c r="H1244" s="61"/>
      <c r="I1244" s="61"/>
      <c r="J1244" s="61"/>
      <c r="K1244" s="57"/>
      <c r="L1244" s="57"/>
      <c r="M1244" s="57"/>
      <c r="N1244" s="199"/>
    </row>
    <row r="1245" spans="1:14" x14ac:dyDescent="0.35">
      <c r="A1245" s="57"/>
      <c r="B1245" s="57"/>
      <c r="C1245" s="61"/>
      <c r="D1245" s="61"/>
      <c r="E1245" s="61"/>
      <c r="F1245" s="61"/>
      <c r="G1245" s="57"/>
      <c r="H1245" s="61"/>
      <c r="I1245" s="61"/>
      <c r="J1245" s="61"/>
      <c r="K1245" s="57"/>
      <c r="L1245" s="57"/>
      <c r="M1245" s="57"/>
      <c r="N1245" s="199"/>
    </row>
    <row r="1246" spans="1:14" x14ac:dyDescent="0.35">
      <c r="A1246" s="57"/>
      <c r="B1246" s="57"/>
      <c r="C1246" s="61"/>
      <c r="D1246" s="61"/>
      <c r="E1246" s="61"/>
      <c r="F1246" s="61"/>
      <c r="G1246" s="57"/>
      <c r="H1246" s="61"/>
      <c r="I1246" s="61"/>
      <c r="J1246" s="61"/>
      <c r="K1246" s="57"/>
      <c r="L1246" s="57"/>
      <c r="M1246" s="57"/>
      <c r="N1246" s="199"/>
    </row>
    <row r="1247" spans="1:14" x14ac:dyDescent="0.35">
      <c r="A1247" s="57"/>
      <c r="B1247" s="57"/>
      <c r="C1247" s="61"/>
      <c r="D1247" s="61"/>
      <c r="E1247" s="61"/>
      <c r="F1247" s="61"/>
      <c r="G1247" s="57"/>
      <c r="H1247" s="61"/>
      <c r="I1247" s="61"/>
      <c r="J1247" s="61"/>
      <c r="K1247" s="57"/>
      <c r="L1247" s="57"/>
      <c r="M1247" s="57"/>
      <c r="N1247" s="199"/>
    </row>
    <row r="1248" spans="1:14" x14ac:dyDescent="0.35">
      <c r="A1248" s="57"/>
      <c r="B1248" s="57"/>
      <c r="C1248" s="61"/>
      <c r="D1248" s="61"/>
      <c r="E1248" s="61"/>
      <c r="F1248" s="61"/>
      <c r="G1248" s="57"/>
      <c r="H1248" s="61"/>
      <c r="I1248" s="61"/>
      <c r="J1248" s="61"/>
      <c r="K1248" s="57"/>
      <c r="L1248" s="57"/>
      <c r="M1248" s="57"/>
      <c r="N1248" s="199"/>
    </row>
    <row r="1249" spans="1:14" x14ac:dyDescent="0.35">
      <c r="A1249" s="57"/>
      <c r="B1249" s="57"/>
      <c r="C1249" s="61"/>
      <c r="D1249" s="61"/>
      <c r="E1249" s="61"/>
      <c r="F1249" s="61"/>
      <c r="G1249" s="57"/>
      <c r="H1249" s="61"/>
      <c r="I1249" s="61"/>
      <c r="J1249" s="61"/>
      <c r="K1249" s="57"/>
      <c r="L1249" s="57"/>
      <c r="M1249" s="57"/>
      <c r="N1249" s="199"/>
    </row>
    <row r="1250" spans="1:14" x14ac:dyDescent="0.35">
      <c r="A1250" s="57"/>
      <c r="B1250" s="57"/>
      <c r="C1250" s="61"/>
      <c r="D1250" s="61"/>
      <c r="E1250" s="61"/>
      <c r="F1250" s="61"/>
      <c r="G1250" s="57"/>
      <c r="H1250" s="61"/>
      <c r="I1250" s="61"/>
      <c r="J1250" s="61"/>
      <c r="K1250" s="57"/>
      <c r="L1250" s="57"/>
      <c r="M1250" s="57"/>
      <c r="N1250" s="199"/>
    </row>
    <row r="1251" spans="1:14" x14ac:dyDescent="0.35">
      <c r="A1251" s="57"/>
      <c r="B1251" s="57"/>
      <c r="C1251" s="61"/>
      <c r="D1251" s="61"/>
      <c r="E1251" s="61"/>
      <c r="F1251" s="61"/>
      <c r="G1251" s="57"/>
      <c r="H1251" s="61"/>
      <c r="I1251" s="61"/>
      <c r="J1251" s="61"/>
      <c r="K1251" s="57"/>
      <c r="L1251" s="57"/>
      <c r="M1251" s="57"/>
      <c r="N1251" s="199"/>
    </row>
    <row r="1252" spans="1:14" x14ac:dyDescent="0.35">
      <c r="A1252" s="57"/>
      <c r="B1252" s="57"/>
      <c r="C1252" s="61"/>
      <c r="D1252" s="61"/>
      <c r="E1252" s="61"/>
      <c r="F1252" s="61"/>
      <c r="G1252" s="57"/>
      <c r="H1252" s="61"/>
      <c r="I1252" s="61"/>
      <c r="J1252" s="61"/>
      <c r="K1252" s="57"/>
      <c r="L1252" s="57"/>
      <c r="M1252" s="57"/>
      <c r="N1252" s="199"/>
    </row>
    <row r="1253" spans="1:14" x14ac:dyDescent="0.35">
      <c r="A1253" s="57"/>
      <c r="B1253" s="57"/>
      <c r="C1253" s="61"/>
      <c r="D1253" s="61"/>
      <c r="E1253" s="61"/>
      <c r="F1253" s="61"/>
      <c r="G1253" s="57"/>
      <c r="H1253" s="61"/>
      <c r="I1253" s="61"/>
      <c r="J1253" s="61"/>
      <c r="K1253" s="57"/>
      <c r="L1253" s="57"/>
      <c r="M1253" s="57"/>
      <c r="N1253" s="199"/>
    </row>
    <row r="1254" spans="1:14" x14ac:dyDescent="0.35">
      <c r="A1254" s="57"/>
      <c r="B1254" s="57"/>
      <c r="C1254" s="61"/>
      <c r="D1254" s="61"/>
      <c r="E1254" s="61"/>
      <c r="F1254" s="61"/>
      <c r="G1254" s="57"/>
      <c r="H1254" s="61"/>
      <c r="I1254" s="61"/>
      <c r="J1254" s="61"/>
      <c r="K1254" s="57"/>
      <c r="L1254" s="57"/>
      <c r="M1254" s="57"/>
      <c r="N1254" s="199"/>
    </row>
    <row r="1255" spans="1:14" x14ac:dyDescent="0.35">
      <c r="A1255" s="57"/>
      <c r="B1255" s="57"/>
      <c r="C1255" s="61"/>
      <c r="D1255" s="61"/>
      <c r="E1255" s="61"/>
      <c r="F1255" s="61"/>
      <c r="G1255" s="57"/>
      <c r="H1255" s="61"/>
      <c r="I1255" s="61"/>
      <c r="J1255" s="61"/>
      <c r="K1255" s="57"/>
      <c r="L1255" s="57"/>
      <c r="M1255" s="57"/>
      <c r="N1255" s="199"/>
    </row>
    <row r="1256" spans="1:14" x14ac:dyDescent="0.35">
      <c r="A1256" s="57"/>
      <c r="B1256" s="57"/>
      <c r="C1256" s="61"/>
      <c r="D1256" s="61"/>
      <c r="E1256" s="61"/>
      <c r="F1256" s="61"/>
      <c r="G1256" s="57"/>
      <c r="H1256" s="61"/>
      <c r="I1256" s="61"/>
      <c r="J1256" s="61"/>
      <c r="K1256" s="57"/>
      <c r="L1256" s="57"/>
      <c r="M1256" s="57"/>
      <c r="N1256" s="199"/>
    </row>
    <row r="1257" spans="1:14" x14ac:dyDescent="0.35">
      <c r="A1257" s="57"/>
      <c r="B1257" s="57"/>
      <c r="C1257" s="61"/>
      <c r="D1257" s="61"/>
      <c r="E1257" s="61"/>
      <c r="F1257" s="61"/>
      <c r="G1257" s="57"/>
      <c r="H1257" s="61"/>
      <c r="I1257" s="61"/>
      <c r="J1257" s="61"/>
      <c r="K1257" s="57"/>
      <c r="L1257" s="57"/>
      <c r="M1257" s="57"/>
      <c r="N1257" s="199"/>
    </row>
    <row r="1258" spans="1:14" x14ac:dyDescent="0.35">
      <c r="A1258" s="57"/>
      <c r="B1258" s="57"/>
      <c r="C1258" s="61"/>
      <c r="D1258" s="61"/>
      <c r="E1258" s="61"/>
      <c r="F1258" s="61"/>
      <c r="G1258" s="57"/>
      <c r="H1258" s="61"/>
      <c r="I1258" s="61"/>
      <c r="J1258" s="61"/>
      <c r="K1258" s="57"/>
      <c r="L1258" s="57"/>
      <c r="M1258" s="57"/>
      <c r="N1258" s="199"/>
    </row>
    <row r="1259" spans="1:14" x14ac:dyDescent="0.35">
      <c r="A1259" s="57"/>
      <c r="B1259" s="57"/>
      <c r="C1259" s="61"/>
      <c r="D1259" s="61"/>
      <c r="E1259" s="61"/>
      <c r="F1259" s="61"/>
      <c r="G1259" s="57"/>
      <c r="H1259" s="61"/>
      <c r="I1259" s="61"/>
      <c r="J1259" s="61"/>
      <c r="K1259" s="57"/>
      <c r="L1259" s="57"/>
      <c r="M1259" s="57"/>
      <c r="N1259" s="199"/>
    </row>
    <row r="1260" spans="1:14" x14ac:dyDescent="0.35">
      <c r="A1260" s="57"/>
      <c r="B1260" s="57"/>
      <c r="C1260" s="61"/>
      <c r="D1260" s="61"/>
      <c r="E1260" s="61"/>
      <c r="F1260" s="61"/>
      <c r="G1260" s="57"/>
      <c r="H1260" s="61"/>
      <c r="I1260" s="61"/>
      <c r="J1260" s="61"/>
      <c r="K1260" s="57"/>
      <c r="L1260" s="57"/>
      <c r="M1260" s="57"/>
      <c r="N1260" s="199"/>
    </row>
    <row r="1261" spans="1:14" x14ac:dyDescent="0.35">
      <c r="A1261" s="57"/>
      <c r="B1261" s="57"/>
      <c r="C1261" s="61"/>
      <c r="D1261" s="61"/>
      <c r="E1261" s="61"/>
      <c r="F1261" s="61"/>
      <c r="G1261" s="57"/>
      <c r="H1261" s="61"/>
      <c r="I1261" s="61"/>
      <c r="J1261" s="61"/>
      <c r="K1261" s="57"/>
      <c r="L1261" s="57"/>
      <c r="M1261" s="57"/>
      <c r="N1261" s="199"/>
    </row>
    <row r="1262" spans="1:14" x14ac:dyDescent="0.35">
      <c r="A1262" s="57"/>
      <c r="B1262" s="57"/>
      <c r="C1262" s="61"/>
      <c r="D1262" s="61"/>
      <c r="E1262" s="61"/>
      <c r="F1262" s="61"/>
      <c r="G1262" s="57"/>
      <c r="H1262" s="61"/>
      <c r="I1262" s="61"/>
      <c r="J1262" s="61"/>
      <c r="K1262" s="57"/>
      <c r="L1262" s="57"/>
      <c r="M1262" s="57"/>
      <c r="N1262" s="199"/>
    </row>
    <row r="1263" spans="1:14" x14ac:dyDescent="0.35">
      <c r="A1263" s="57"/>
      <c r="B1263" s="57"/>
      <c r="C1263" s="61"/>
      <c r="D1263" s="61"/>
      <c r="E1263" s="61"/>
      <c r="F1263" s="61"/>
      <c r="G1263" s="57"/>
      <c r="H1263" s="61"/>
      <c r="I1263" s="61"/>
      <c r="J1263" s="61"/>
      <c r="K1263" s="57"/>
      <c r="L1263" s="57"/>
      <c r="M1263" s="57"/>
      <c r="N1263" s="199"/>
    </row>
    <row r="1264" spans="1:14" x14ac:dyDescent="0.35">
      <c r="A1264" s="57"/>
      <c r="B1264" s="57"/>
      <c r="C1264" s="61"/>
      <c r="D1264" s="61"/>
      <c r="E1264" s="61"/>
      <c r="F1264" s="61"/>
      <c r="G1264" s="57"/>
      <c r="H1264" s="61"/>
      <c r="I1264" s="61"/>
      <c r="J1264" s="61"/>
      <c r="K1264" s="57"/>
      <c r="L1264" s="57"/>
      <c r="M1264" s="57"/>
      <c r="N1264" s="199"/>
    </row>
    <row r="1265" spans="1:14" x14ac:dyDescent="0.35">
      <c r="A1265" s="57"/>
      <c r="B1265" s="57"/>
      <c r="C1265" s="61"/>
      <c r="D1265" s="61"/>
      <c r="E1265" s="61"/>
      <c r="F1265" s="61"/>
      <c r="G1265" s="57"/>
      <c r="H1265" s="61"/>
      <c r="I1265" s="61"/>
      <c r="J1265" s="61"/>
      <c r="K1265" s="57"/>
      <c r="L1265" s="57"/>
      <c r="M1265" s="57"/>
      <c r="N1265" s="199"/>
    </row>
    <row r="1266" spans="1:14" x14ac:dyDescent="0.35">
      <c r="A1266" s="57"/>
      <c r="B1266" s="57"/>
      <c r="C1266" s="61"/>
      <c r="D1266" s="61"/>
      <c r="E1266" s="61"/>
      <c r="F1266" s="61"/>
      <c r="G1266" s="57"/>
      <c r="H1266" s="61"/>
      <c r="I1266" s="61"/>
      <c r="J1266" s="61"/>
      <c r="K1266" s="57"/>
      <c r="L1266" s="57"/>
      <c r="M1266" s="57"/>
      <c r="N1266" s="199"/>
    </row>
    <row r="1267" spans="1:14" x14ac:dyDescent="0.35">
      <c r="A1267" s="57"/>
      <c r="B1267" s="57"/>
      <c r="C1267" s="61"/>
      <c r="D1267" s="61"/>
      <c r="E1267" s="61"/>
      <c r="F1267" s="61"/>
      <c r="G1267" s="57"/>
      <c r="H1267" s="61"/>
      <c r="I1267" s="61"/>
      <c r="J1267" s="61"/>
      <c r="K1267" s="57"/>
      <c r="L1267" s="57"/>
      <c r="M1267" s="57"/>
      <c r="N1267" s="199"/>
    </row>
    <row r="1268" spans="1:14" x14ac:dyDescent="0.35">
      <c r="A1268" s="57"/>
      <c r="B1268" s="57"/>
      <c r="C1268" s="61"/>
      <c r="D1268" s="61"/>
      <c r="E1268" s="61"/>
      <c r="F1268" s="61"/>
      <c r="G1268" s="57"/>
      <c r="H1268" s="61"/>
      <c r="I1268" s="61"/>
      <c r="J1268" s="61"/>
      <c r="K1268" s="57"/>
      <c r="L1268" s="57"/>
      <c r="M1268" s="57"/>
      <c r="N1268" s="199"/>
    </row>
    <row r="1269" spans="1:14" x14ac:dyDescent="0.35">
      <c r="A1269" s="57"/>
      <c r="B1269" s="57"/>
      <c r="C1269" s="61"/>
      <c r="D1269" s="61"/>
      <c r="E1269" s="61"/>
      <c r="F1269" s="61"/>
      <c r="G1269" s="57"/>
      <c r="H1269" s="61"/>
      <c r="I1269" s="61"/>
      <c r="J1269" s="61"/>
      <c r="K1269" s="57"/>
      <c r="L1269" s="57"/>
      <c r="M1269" s="57"/>
      <c r="N1269" s="199"/>
    </row>
    <row r="1270" spans="1:14" x14ac:dyDescent="0.35">
      <c r="A1270" s="57"/>
      <c r="B1270" s="57"/>
      <c r="C1270" s="61"/>
      <c r="D1270" s="61"/>
      <c r="E1270" s="61"/>
      <c r="F1270" s="61"/>
      <c r="G1270" s="57"/>
      <c r="H1270" s="61"/>
      <c r="I1270" s="61"/>
      <c r="J1270" s="61"/>
      <c r="K1270" s="57"/>
      <c r="L1270" s="57"/>
      <c r="M1270" s="57"/>
      <c r="N1270" s="199"/>
    </row>
    <row r="1271" spans="1:14" x14ac:dyDescent="0.35">
      <c r="A1271" s="57"/>
      <c r="B1271" s="57"/>
      <c r="C1271" s="61"/>
      <c r="D1271" s="61"/>
      <c r="E1271" s="61"/>
      <c r="F1271" s="61"/>
      <c r="G1271" s="57"/>
      <c r="H1271" s="61"/>
      <c r="I1271" s="61"/>
      <c r="J1271" s="61"/>
      <c r="K1271" s="57"/>
      <c r="L1271" s="57"/>
      <c r="M1271" s="57"/>
      <c r="N1271" s="199"/>
    </row>
    <row r="1272" spans="1:14" x14ac:dyDescent="0.35">
      <c r="A1272" s="57"/>
      <c r="B1272" s="57"/>
      <c r="C1272" s="61"/>
      <c r="D1272" s="61"/>
      <c r="E1272" s="61"/>
      <c r="F1272" s="61"/>
      <c r="G1272" s="57"/>
      <c r="H1272" s="61"/>
      <c r="I1272" s="61"/>
      <c r="J1272" s="61"/>
      <c r="K1272" s="57"/>
      <c r="L1272" s="57"/>
      <c r="M1272" s="57"/>
      <c r="N1272" s="199"/>
    </row>
    <row r="1273" spans="1:14" x14ac:dyDescent="0.35">
      <c r="A1273" s="57"/>
      <c r="B1273" s="57"/>
      <c r="C1273" s="61"/>
      <c r="D1273" s="61"/>
      <c r="E1273" s="61"/>
      <c r="F1273" s="61"/>
      <c r="G1273" s="57"/>
      <c r="H1273" s="61"/>
      <c r="I1273" s="61"/>
      <c r="J1273" s="61"/>
      <c r="K1273" s="57"/>
      <c r="L1273" s="57"/>
      <c r="M1273" s="57"/>
      <c r="N1273" s="199"/>
    </row>
    <row r="1274" spans="1:14" x14ac:dyDescent="0.35">
      <c r="A1274" s="57"/>
      <c r="B1274" s="57"/>
      <c r="C1274" s="61"/>
      <c r="D1274" s="61"/>
      <c r="E1274" s="61"/>
      <c r="F1274" s="61"/>
      <c r="G1274" s="57"/>
      <c r="H1274" s="61"/>
      <c r="I1274" s="61"/>
      <c r="J1274" s="61"/>
      <c r="K1274" s="57"/>
      <c r="L1274" s="57"/>
      <c r="M1274" s="57"/>
      <c r="N1274" s="199"/>
    </row>
    <row r="1275" spans="1:14" x14ac:dyDescent="0.35">
      <c r="A1275" s="57"/>
      <c r="B1275" s="57"/>
      <c r="C1275" s="61"/>
      <c r="D1275" s="61"/>
      <c r="E1275" s="61"/>
      <c r="F1275" s="61"/>
      <c r="G1275" s="57"/>
      <c r="H1275" s="61"/>
      <c r="I1275" s="61"/>
      <c r="J1275" s="61"/>
      <c r="K1275" s="57"/>
      <c r="L1275" s="57"/>
      <c r="M1275" s="57"/>
      <c r="N1275" s="199"/>
    </row>
    <row r="1276" spans="1:14" x14ac:dyDescent="0.35">
      <c r="A1276" s="57"/>
      <c r="B1276" s="57"/>
      <c r="C1276" s="61"/>
      <c r="D1276" s="61"/>
      <c r="E1276" s="61"/>
      <c r="F1276" s="61"/>
      <c r="G1276" s="57"/>
      <c r="H1276" s="61"/>
      <c r="I1276" s="61"/>
      <c r="J1276" s="61"/>
      <c r="K1276" s="57"/>
      <c r="L1276" s="57"/>
      <c r="M1276" s="57"/>
      <c r="N1276" s="199"/>
    </row>
    <row r="1277" spans="1:14" x14ac:dyDescent="0.35">
      <c r="A1277" s="57"/>
      <c r="B1277" s="57"/>
      <c r="C1277" s="61"/>
      <c r="D1277" s="61"/>
      <c r="E1277" s="61"/>
      <c r="F1277" s="61"/>
      <c r="G1277" s="57"/>
      <c r="H1277" s="61"/>
      <c r="I1277" s="61"/>
      <c r="J1277" s="61"/>
      <c r="K1277" s="57"/>
      <c r="L1277" s="57"/>
      <c r="M1277" s="57"/>
      <c r="N1277" s="199"/>
    </row>
    <row r="1278" spans="1:14" x14ac:dyDescent="0.35">
      <c r="A1278" s="57"/>
      <c r="B1278" s="57"/>
      <c r="C1278" s="61"/>
      <c r="D1278" s="61"/>
      <c r="E1278" s="61"/>
      <c r="F1278" s="61"/>
      <c r="G1278" s="57"/>
      <c r="H1278" s="61"/>
      <c r="I1278" s="61"/>
      <c r="J1278" s="61"/>
      <c r="K1278" s="57"/>
      <c r="L1278" s="57"/>
      <c r="M1278" s="57"/>
      <c r="N1278" s="199"/>
    </row>
    <row r="1279" spans="1:14" x14ac:dyDescent="0.35">
      <c r="A1279" s="57"/>
      <c r="B1279" s="57"/>
      <c r="C1279" s="61"/>
      <c r="D1279" s="61"/>
      <c r="E1279" s="61"/>
      <c r="F1279" s="61"/>
      <c r="G1279" s="57"/>
      <c r="H1279" s="61"/>
      <c r="I1279" s="61"/>
      <c r="J1279" s="61"/>
      <c r="K1279" s="57"/>
      <c r="L1279" s="57"/>
      <c r="M1279" s="57"/>
      <c r="N1279" s="199"/>
    </row>
    <row r="1280" spans="1:14" x14ac:dyDescent="0.35">
      <c r="A1280" s="57"/>
      <c r="B1280" s="57"/>
      <c r="C1280" s="61"/>
      <c r="D1280" s="61"/>
      <c r="E1280" s="61"/>
      <c r="F1280" s="61"/>
      <c r="G1280" s="57"/>
      <c r="H1280" s="61"/>
      <c r="I1280" s="61"/>
      <c r="J1280" s="61"/>
      <c r="K1280" s="57"/>
      <c r="L1280" s="57"/>
      <c r="M1280" s="57"/>
      <c r="N1280" s="199"/>
    </row>
    <row r="1281" spans="1:14" x14ac:dyDescent="0.35">
      <c r="A1281" s="57"/>
      <c r="B1281" s="57"/>
      <c r="C1281" s="61"/>
      <c r="D1281" s="61"/>
      <c r="E1281" s="61"/>
      <c r="F1281" s="61"/>
      <c r="G1281" s="57"/>
      <c r="H1281" s="61"/>
      <c r="I1281" s="61"/>
      <c r="J1281" s="61"/>
      <c r="K1281" s="57"/>
      <c r="L1281" s="57"/>
      <c r="M1281" s="57"/>
      <c r="N1281" s="199"/>
    </row>
    <row r="1282" spans="1:14" x14ac:dyDescent="0.35">
      <c r="A1282" s="57"/>
      <c r="B1282" s="57"/>
      <c r="C1282" s="61"/>
      <c r="D1282" s="61"/>
      <c r="E1282" s="61"/>
      <c r="F1282" s="61"/>
      <c r="G1282" s="57"/>
      <c r="H1282" s="61"/>
      <c r="I1282" s="61"/>
      <c r="J1282" s="61"/>
      <c r="K1282" s="57"/>
      <c r="L1282" s="57"/>
      <c r="M1282" s="57"/>
      <c r="N1282" s="199"/>
    </row>
    <row r="1283" spans="1:14" x14ac:dyDescent="0.35">
      <c r="A1283" s="57"/>
      <c r="B1283" s="57"/>
      <c r="C1283" s="61"/>
      <c r="D1283" s="61"/>
      <c r="E1283" s="61"/>
      <c r="F1283" s="61"/>
      <c r="G1283" s="57"/>
      <c r="H1283" s="61"/>
      <c r="I1283" s="61"/>
      <c r="J1283" s="61"/>
      <c r="K1283" s="57"/>
      <c r="L1283" s="57"/>
      <c r="M1283" s="57"/>
      <c r="N1283" s="199"/>
    </row>
    <row r="1284" spans="1:14" x14ac:dyDescent="0.35">
      <c r="A1284" s="57"/>
      <c r="B1284" s="57"/>
      <c r="C1284" s="61"/>
      <c r="D1284" s="61"/>
      <c r="E1284" s="61"/>
      <c r="F1284" s="61"/>
      <c r="G1284" s="57"/>
      <c r="H1284" s="61"/>
      <c r="I1284" s="61"/>
      <c r="J1284" s="61"/>
      <c r="K1284" s="57"/>
      <c r="L1284" s="57"/>
      <c r="M1284" s="57"/>
      <c r="N1284" s="199"/>
    </row>
    <row r="1285" spans="1:14" x14ac:dyDescent="0.35">
      <c r="A1285" s="57"/>
      <c r="B1285" s="57"/>
      <c r="C1285" s="61"/>
      <c r="D1285" s="61"/>
      <c r="E1285" s="61"/>
      <c r="F1285" s="61"/>
      <c r="G1285" s="57"/>
      <c r="H1285" s="61"/>
      <c r="I1285" s="61"/>
      <c r="J1285" s="61"/>
      <c r="K1285" s="57"/>
      <c r="L1285" s="57"/>
      <c r="M1285" s="57"/>
      <c r="N1285" s="199"/>
    </row>
    <row r="1286" spans="1:14" x14ac:dyDescent="0.35">
      <c r="A1286" s="57"/>
      <c r="B1286" s="57"/>
      <c r="C1286" s="61"/>
      <c r="D1286" s="61"/>
      <c r="E1286" s="61"/>
      <c r="F1286" s="61"/>
      <c r="G1286" s="57"/>
      <c r="H1286" s="61"/>
      <c r="I1286" s="61"/>
      <c r="J1286" s="61"/>
      <c r="K1286" s="57"/>
      <c r="L1286" s="57"/>
      <c r="M1286" s="57"/>
      <c r="N1286" s="199"/>
    </row>
    <row r="1287" spans="1:14" x14ac:dyDescent="0.35">
      <c r="A1287" s="57"/>
      <c r="B1287" s="57"/>
      <c r="C1287" s="61"/>
      <c r="D1287" s="61"/>
      <c r="E1287" s="61"/>
      <c r="F1287" s="61"/>
      <c r="G1287" s="57"/>
      <c r="H1287" s="61"/>
      <c r="I1287" s="61"/>
      <c r="J1287" s="61"/>
      <c r="K1287" s="57"/>
      <c r="L1287" s="57"/>
      <c r="M1287" s="57"/>
      <c r="N1287" s="199"/>
    </row>
    <row r="1288" spans="1:14" x14ac:dyDescent="0.35">
      <c r="A1288" s="57"/>
      <c r="B1288" s="57"/>
      <c r="C1288" s="61"/>
      <c r="D1288" s="61"/>
      <c r="E1288" s="61"/>
      <c r="F1288" s="61"/>
      <c r="G1288" s="57"/>
      <c r="H1288" s="61"/>
      <c r="I1288" s="61"/>
      <c r="J1288" s="61"/>
      <c r="K1288" s="57"/>
      <c r="L1288" s="57"/>
      <c r="M1288" s="57"/>
      <c r="N1288" s="199"/>
    </row>
    <row r="1289" spans="1:14" x14ac:dyDescent="0.35">
      <c r="A1289" s="57"/>
      <c r="B1289" s="57"/>
      <c r="C1289" s="61"/>
      <c r="D1289" s="61"/>
      <c r="E1289" s="61"/>
      <c r="F1289" s="61"/>
      <c r="G1289" s="57"/>
      <c r="H1289" s="61"/>
      <c r="I1289" s="61"/>
      <c r="J1289" s="61"/>
      <c r="K1289" s="57"/>
      <c r="L1289" s="57"/>
      <c r="M1289" s="57"/>
      <c r="N1289" s="199"/>
    </row>
    <row r="1290" spans="1:14" x14ac:dyDescent="0.35">
      <c r="A1290" s="57"/>
      <c r="B1290" s="57"/>
      <c r="C1290" s="61"/>
      <c r="D1290" s="61"/>
      <c r="E1290" s="61"/>
      <c r="F1290" s="61"/>
      <c r="G1290" s="57"/>
      <c r="H1290" s="61"/>
      <c r="I1290" s="61"/>
      <c r="J1290" s="61"/>
      <c r="K1290" s="57"/>
      <c r="L1290" s="57"/>
      <c r="M1290" s="57"/>
      <c r="N1290" s="199"/>
    </row>
    <row r="1291" spans="1:14" x14ac:dyDescent="0.35">
      <c r="A1291" s="57"/>
      <c r="B1291" s="57"/>
      <c r="C1291" s="61"/>
      <c r="D1291" s="61"/>
      <c r="E1291" s="61"/>
      <c r="F1291" s="61"/>
      <c r="G1291" s="57"/>
      <c r="H1291" s="61"/>
      <c r="I1291" s="61"/>
      <c r="J1291" s="61"/>
      <c r="K1291" s="57"/>
      <c r="L1291" s="57"/>
      <c r="M1291" s="57"/>
      <c r="N1291" s="199"/>
    </row>
    <row r="1292" spans="1:14" x14ac:dyDescent="0.35">
      <c r="A1292" s="57"/>
      <c r="B1292" s="57"/>
      <c r="C1292" s="61"/>
      <c r="D1292" s="61"/>
      <c r="E1292" s="61"/>
      <c r="F1292" s="61"/>
      <c r="G1292" s="57"/>
      <c r="H1292" s="61"/>
      <c r="I1292" s="61"/>
      <c r="J1292" s="61"/>
      <c r="K1292" s="57"/>
      <c r="L1292" s="57"/>
      <c r="M1292" s="57"/>
      <c r="N1292" s="199"/>
    </row>
    <row r="1293" spans="1:14" x14ac:dyDescent="0.35">
      <c r="A1293" s="57"/>
      <c r="B1293" s="57"/>
      <c r="C1293" s="61"/>
      <c r="D1293" s="61"/>
      <c r="E1293" s="61"/>
      <c r="F1293" s="61"/>
      <c r="G1293" s="57"/>
      <c r="H1293" s="61"/>
      <c r="I1293" s="61"/>
      <c r="J1293" s="61"/>
      <c r="K1293" s="57"/>
      <c r="L1293" s="57"/>
      <c r="M1293" s="57"/>
      <c r="N1293" s="199"/>
    </row>
    <row r="1294" spans="1:14" x14ac:dyDescent="0.35">
      <c r="A1294" s="57"/>
      <c r="B1294" s="57"/>
      <c r="C1294" s="61"/>
      <c r="D1294" s="61"/>
      <c r="E1294" s="61"/>
      <c r="F1294" s="61"/>
      <c r="G1294" s="57"/>
      <c r="H1294" s="61"/>
      <c r="I1294" s="61"/>
      <c r="J1294" s="61"/>
      <c r="K1294" s="57"/>
      <c r="L1294" s="57"/>
      <c r="M1294" s="57"/>
      <c r="N1294" s="199"/>
    </row>
    <row r="1295" spans="1:14" x14ac:dyDescent="0.35">
      <c r="A1295" s="57"/>
      <c r="B1295" s="57"/>
      <c r="C1295" s="61"/>
      <c r="D1295" s="61"/>
      <c r="E1295" s="61"/>
      <c r="F1295" s="61"/>
      <c r="G1295" s="57"/>
      <c r="H1295" s="61"/>
      <c r="I1295" s="61"/>
      <c r="J1295" s="61"/>
      <c r="K1295" s="57"/>
      <c r="L1295" s="57"/>
      <c r="M1295" s="57"/>
      <c r="N1295" s="199"/>
    </row>
    <row r="1296" spans="1:14" x14ac:dyDescent="0.35">
      <c r="A1296" s="57"/>
      <c r="B1296" s="57"/>
      <c r="C1296" s="61"/>
      <c r="D1296" s="61"/>
      <c r="E1296" s="61"/>
      <c r="F1296" s="61"/>
      <c r="G1296" s="57"/>
      <c r="H1296" s="61"/>
      <c r="I1296" s="61"/>
      <c r="J1296" s="61"/>
      <c r="K1296" s="57"/>
      <c r="L1296" s="57"/>
      <c r="M1296" s="57"/>
      <c r="N1296" s="199"/>
    </row>
    <row r="1297" spans="1:14" x14ac:dyDescent="0.35">
      <c r="A1297" s="57"/>
      <c r="B1297" s="57"/>
      <c r="C1297" s="61"/>
      <c r="D1297" s="61"/>
      <c r="E1297" s="61"/>
      <c r="F1297" s="61"/>
      <c r="G1297" s="57"/>
      <c r="H1297" s="61"/>
      <c r="I1297" s="61"/>
      <c r="J1297" s="61"/>
      <c r="K1297" s="57"/>
      <c r="L1297" s="57"/>
      <c r="M1297" s="57"/>
      <c r="N1297" s="199"/>
    </row>
    <row r="1298" spans="1:14" x14ac:dyDescent="0.35">
      <c r="A1298" s="57"/>
      <c r="B1298" s="57"/>
      <c r="C1298" s="61"/>
      <c r="D1298" s="61"/>
      <c r="E1298" s="61"/>
      <c r="F1298" s="61"/>
      <c r="G1298" s="57"/>
      <c r="H1298" s="61"/>
      <c r="I1298" s="61"/>
      <c r="J1298" s="61"/>
      <c r="K1298" s="57"/>
      <c r="L1298" s="57"/>
      <c r="M1298" s="57"/>
      <c r="N1298" s="199"/>
    </row>
    <row r="1299" spans="1:14" x14ac:dyDescent="0.35">
      <c r="A1299" s="57"/>
      <c r="B1299" s="57"/>
      <c r="C1299" s="61"/>
      <c r="D1299" s="61"/>
      <c r="E1299" s="61"/>
      <c r="F1299" s="61"/>
      <c r="G1299" s="57"/>
      <c r="H1299" s="61"/>
      <c r="I1299" s="61"/>
      <c r="J1299" s="61"/>
      <c r="K1299" s="57"/>
      <c r="L1299" s="57"/>
      <c r="M1299" s="57"/>
      <c r="N1299" s="199"/>
    </row>
    <row r="1300" spans="1:14" x14ac:dyDescent="0.35">
      <c r="A1300" s="57"/>
      <c r="B1300" s="57"/>
      <c r="C1300" s="61"/>
      <c r="D1300" s="61"/>
      <c r="E1300" s="61"/>
      <c r="F1300" s="61"/>
      <c r="G1300" s="57"/>
      <c r="H1300" s="61"/>
      <c r="I1300" s="61"/>
      <c r="J1300" s="61"/>
      <c r="K1300" s="57"/>
      <c r="L1300" s="57"/>
      <c r="M1300" s="57"/>
      <c r="N1300" s="199"/>
    </row>
    <row r="1301" spans="1:14" x14ac:dyDescent="0.35">
      <c r="A1301" s="57"/>
      <c r="B1301" s="57"/>
      <c r="C1301" s="61"/>
      <c r="D1301" s="61"/>
      <c r="E1301" s="61"/>
      <c r="F1301" s="61"/>
      <c r="G1301" s="57"/>
      <c r="H1301" s="61"/>
      <c r="I1301" s="61"/>
      <c r="J1301" s="61"/>
      <c r="K1301" s="57"/>
      <c r="L1301" s="57"/>
      <c r="M1301" s="57"/>
      <c r="N1301" s="199"/>
    </row>
    <row r="1302" spans="1:14" x14ac:dyDescent="0.35">
      <c r="A1302" s="57"/>
      <c r="B1302" s="57"/>
      <c r="C1302" s="61"/>
      <c r="D1302" s="61"/>
      <c r="E1302" s="61"/>
      <c r="F1302" s="61"/>
      <c r="G1302" s="57"/>
      <c r="H1302" s="61"/>
      <c r="I1302" s="61"/>
      <c r="J1302" s="61"/>
      <c r="K1302" s="57"/>
      <c r="L1302" s="57"/>
      <c r="M1302" s="57"/>
      <c r="N1302" s="199"/>
    </row>
    <row r="1303" spans="1:14" x14ac:dyDescent="0.35">
      <c r="A1303" s="57"/>
      <c r="B1303" s="57"/>
      <c r="C1303" s="61"/>
      <c r="D1303" s="61"/>
      <c r="E1303" s="61"/>
      <c r="F1303" s="61"/>
      <c r="G1303" s="57"/>
      <c r="H1303" s="61"/>
      <c r="I1303" s="61"/>
      <c r="J1303" s="61"/>
      <c r="K1303" s="57"/>
      <c r="L1303" s="57"/>
      <c r="M1303" s="57"/>
      <c r="N1303" s="199"/>
    </row>
    <row r="1304" spans="1:14" x14ac:dyDescent="0.35">
      <c r="A1304" s="57"/>
      <c r="B1304" s="57"/>
      <c r="C1304" s="61"/>
      <c r="D1304" s="61"/>
      <c r="E1304" s="61"/>
      <c r="F1304" s="61"/>
      <c r="G1304" s="57"/>
      <c r="H1304" s="61"/>
      <c r="I1304" s="61"/>
      <c r="J1304" s="61"/>
      <c r="K1304" s="57"/>
      <c r="L1304" s="57"/>
      <c r="M1304" s="57"/>
      <c r="N1304" s="199"/>
    </row>
    <row r="1305" spans="1:14" x14ac:dyDescent="0.35">
      <c r="A1305" s="57"/>
      <c r="B1305" s="57"/>
      <c r="C1305" s="61"/>
      <c r="D1305" s="61"/>
      <c r="E1305" s="61"/>
      <c r="F1305" s="61"/>
      <c r="G1305" s="57"/>
      <c r="H1305" s="61"/>
      <c r="I1305" s="61"/>
      <c r="J1305" s="61"/>
      <c r="K1305" s="57"/>
      <c r="L1305" s="57"/>
      <c r="M1305" s="57"/>
      <c r="N1305" s="199"/>
    </row>
    <row r="1306" spans="1:14" x14ac:dyDescent="0.35">
      <c r="A1306" s="57"/>
      <c r="B1306" s="57"/>
      <c r="C1306" s="61"/>
      <c r="D1306" s="61"/>
      <c r="E1306" s="61"/>
      <c r="F1306" s="61"/>
      <c r="G1306" s="57"/>
      <c r="H1306" s="61"/>
      <c r="I1306" s="61"/>
      <c r="J1306" s="61"/>
      <c r="K1306" s="57"/>
      <c r="L1306" s="57"/>
      <c r="M1306" s="57"/>
      <c r="N1306" s="199"/>
    </row>
    <row r="1307" spans="1:14" x14ac:dyDescent="0.35">
      <c r="A1307" s="57"/>
      <c r="B1307" s="57"/>
      <c r="C1307" s="61"/>
      <c r="D1307" s="61"/>
      <c r="E1307" s="61"/>
      <c r="F1307" s="61"/>
      <c r="G1307" s="57"/>
      <c r="H1307" s="61"/>
      <c r="I1307" s="61"/>
      <c r="J1307" s="61"/>
      <c r="K1307" s="57"/>
      <c r="L1307" s="57"/>
      <c r="M1307" s="57"/>
      <c r="N1307" s="199"/>
    </row>
    <row r="1308" spans="1:14" x14ac:dyDescent="0.35">
      <c r="A1308" s="57"/>
      <c r="B1308" s="57"/>
      <c r="C1308" s="61"/>
      <c r="D1308" s="61"/>
      <c r="E1308" s="61"/>
      <c r="F1308" s="61"/>
      <c r="G1308" s="57"/>
      <c r="H1308" s="61"/>
      <c r="I1308" s="61"/>
      <c r="J1308" s="61"/>
      <c r="K1308" s="57"/>
      <c r="L1308" s="57"/>
      <c r="M1308" s="57"/>
      <c r="N1308" s="199"/>
    </row>
    <row r="1309" spans="1:14" x14ac:dyDescent="0.35">
      <c r="A1309" s="57"/>
      <c r="B1309" s="57"/>
      <c r="C1309" s="61"/>
      <c r="D1309" s="61"/>
      <c r="E1309" s="61"/>
      <c r="F1309" s="61"/>
      <c r="G1309" s="57"/>
      <c r="H1309" s="61"/>
      <c r="I1309" s="61"/>
      <c r="J1309" s="61"/>
      <c r="K1309" s="57"/>
      <c r="L1309" s="57"/>
      <c r="M1309" s="57"/>
      <c r="N1309" s="199"/>
    </row>
    <row r="1310" spans="1:14" x14ac:dyDescent="0.35">
      <c r="A1310" s="57"/>
      <c r="B1310" s="57"/>
      <c r="C1310" s="61"/>
      <c r="D1310" s="61"/>
      <c r="E1310" s="61"/>
      <c r="F1310" s="61"/>
      <c r="G1310" s="57"/>
      <c r="H1310" s="61"/>
      <c r="I1310" s="61"/>
      <c r="J1310" s="61"/>
      <c r="K1310" s="57"/>
      <c r="L1310" s="57"/>
      <c r="M1310" s="57"/>
      <c r="N1310" s="199"/>
    </row>
    <row r="1311" spans="1:14" x14ac:dyDescent="0.35">
      <c r="A1311" s="57"/>
      <c r="B1311" s="57"/>
      <c r="C1311" s="61"/>
      <c r="D1311" s="61"/>
      <c r="E1311" s="61"/>
      <c r="F1311" s="61"/>
      <c r="G1311" s="57"/>
      <c r="H1311" s="61"/>
      <c r="I1311" s="61"/>
      <c r="J1311" s="61"/>
      <c r="K1311" s="57"/>
      <c r="L1311" s="57"/>
      <c r="M1311" s="57"/>
      <c r="N1311" s="199"/>
    </row>
    <row r="1312" spans="1:14" x14ac:dyDescent="0.35">
      <c r="A1312" s="57"/>
      <c r="B1312" s="57"/>
      <c r="C1312" s="61"/>
      <c r="D1312" s="61"/>
      <c r="E1312" s="61"/>
      <c r="F1312" s="61"/>
      <c r="G1312" s="57"/>
      <c r="H1312" s="61"/>
      <c r="I1312" s="61"/>
      <c r="J1312" s="61"/>
      <c r="K1312" s="57"/>
      <c r="L1312" s="57"/>
      <c r="M1312" s="57"/>
      <c r="N1312" s="199"/>
    </row>
    <row r="1313" spans="1:14" x14ac:dyDescent="0.35">
      <c r="A1313" s="57"/>
      <c r="B1313" s="57"/>
      <c r="C1313" s="61"/>
      <c r="D1313" s="61"/>
      <c r="E1313" s="61"/>
      <c r="F1313" s="61"/>
      <c r="G1313" s="57"/>
      <c r="H1313" s="61"/>
      <c r="I1313" s="61"/>
      <c r="J1313" s="61"/>
      <c r="K1313" s="57"/>
      <c r="L1313" s="57"/>
      <c r="M1313" s="57"/>
      <c r="N1313" s="199"/>
    </row>
    <row r="1314" spans="1:14" x14ac:dyDescent="0.35">
      <c r="A1314" s="57"/>
      <c r="B1314" s="57"/>
      <c r="C1314" s="61"/>
      <c r="D1314" s="61"/>
      <c r="E1314" s="61"/>
      <c r="F1314" s="61"/>
      <c r="G1314" s="57"/>
      <c r="H1314" s="61"/>
      <c r="I1314" s="61"/>
      <c r="J1314" s="61"/>
      <c r="K1314" s="57"/>
      <c r="L1314" s="57"/>
      <c r="M1314" s="57"/>
      <c r="N1314" s="199"/>
    </row>
    <row r="1315" spans="1:14" x14ac:dyDescent="0.35">
      <c r="A1315" s="57"/>
      <c r="B1315" s="57"/>
      <c r="C1315" s="61"/>
      <c r="D1315" s="61"/>
      <c r="E1315" s="61"/>
      <c r="F1315" s="61"/>
      <c r="G1315" s="57"/>
      <c r="H1315" s="61"/>
      <c r="I1315" s="61"/>
      <c r="J1315" s="61"/>
      <c r="K1315" s="57"/>
      <c r="L1315" s="57"/>
      <c r="M1315" s="57"/>
      <c r="N1315" s="199"/>
    </row>
    <row r="1316" spans="1:14" x14ac:dyDescent="0.35">
      <c r="A1316" s="57"/>
      <c r="B1316" s="57"/>
      <c r="C1316" s="61"/>
      <c r="D1316" s="61"/>
      <c r="E1316" s="61"/>
      <c r="F1316" s="61"/>
      <c r="G1316" s="57"/>
      <c r="H1316" s="61"/>
      <c r="I1316" s="61"/>
      <c r="J1316" s="61"/>
      <c r="K1316" s="57"/>
      <c r="L1316" s="57"/>
      <c r="M1316" s="57"/>
      <c r="N1316" s="199"/>
    </row>
    <row r="1317" spans="1:14" x14ac:dyDescent="0.35">
      <c r="A1317" s="57"/>
      <c r="B1317" s="57"/>
      <c r="C1317" s="61"/>
      <c r="D1317" s="61"/>
      <c r="E1317" s="61"/>
      <c r="F1317" s="61"/>
      <c r="G1317" s="57"/>
      <c r="H1317" s="61"/>
      <c r="I1317" s="61"/>
      <c r="J1317" s="61"/>
      <c r="K1317" s="57"/>
      <c r="L1317" s="57"/>
      <c r="M1317" s="57"/>
      <c r="N1317" s="199"/>
    </row>
    <row r="1318" spans="1:14" x14ac:dyDescent="0.35">
      <c r="A1318" s="57"/>
      <c r="B1318" s="57"/>
      <c r="C1318" s="61"/>
      <c r="D1318" s="61"/>
      <c r="E1318" s="61"/>
      <c r="F1318" s="61"/>
      <c r="G1318" s="57"/>
      <c r="H1318" s="61"/>
      <c r="I1318" s="61"/>
      <c r="J1318" s="61"/>
      <c r="K1318" s="57"/>
      <c r="L1318" s="57"/>
      <c r="M1318" s="57"/>
      <c r="N1318" s="199"/>
    </row>
    <row r="1319" spans="1:14" x14ac:dyDescent="0.35">
      <c r="A1319" s="57"/>
      <c r="B1319" s="57"/>
      <c r="C1319" s="61"/>
      <c r="D1319" s="61"/>
      <c r="E1319" s="61"/>
      <c r="F1319" s="61"/>
      <c r="G1319" s="57"/>
      <c r="H1319" s="61"/>
      <c r="I1319" s="61"/>
      <c r="J1319" s="61"/>
      <c r="K1319" s="57"/>
      <c r="L1319" s="57"/>
      <c r="M1319" s="57"/>
      <c r="N1319" s="199"/>
    </row>
    <row r="1320" spans="1:14" x14ac:dyDescent="0.35">
      <c r="A1320" s="57"/>
      <c r="B1320" s="57"/>
      <c r="C1320" s="61"/>
      <c r="D1320" s="61"/>
      <c r="E1320" s="61"/>
      <c r="F1320" s="61"/>
      <c r="G1320" s="57"/>
      <c r="H1320" s="61"/>
      <c r="I1320" s="61"/>
      <c r="J1320" s="61"/>
      <c r="K1320" s="57"/>
      <c r="L1320" s="57"/>
      <c r="M1320" s="57"/>
      <c r="N1320" s="199"/>
    </row>
    <row r="1321" spans="1:14" x14ac:dyDescent="0.35">
      <c r="A1321" s="57"/>
      <c r="B1321" s="57"/>
      <c r="C1321" s="61"/>
      <c r="D1321" s="61"/>
      <c r="E1321" s="61"/>
      <c r="F1321" s="61"/>
      <c r="G1321" s="57"/>
      <c r="H1321" s="61"/>
      <c r="I1321" s="61"/>
      <c r="J1321" s="61"/>
      <c r="K1321" s="57"/>
      <c r="L1321" s="57"/>
      <c r="M1321" s="57"/>
      <c r="N1321" s="199"/>
    </row>
    <row r="1322" spans="1:14" x14ac:dyDescent="0.35">
      <c r="A1322" s="57"/>
      <c r="B1322" s="57"/>
      <c r="C1322" s="61"/>
      <c r="D1322" s="61"/>
      <c r="E1322" s="61"/>
      <c r="F1322" s="61"/>
      <c r="G1322" s="57"/>
      <c r="H1322" s="61"/>
      <c r="I1322" s="61"/>
      <c r="J1322" s="61"/>
      <c r="K1322" s="57"/>
      <c r="L1322" s="57"/>
      <c r="M1322" s="57"/>
      <c r="N1322" s="199"/>
    </row>
    <row r="1323" spans="1:14" x14ac:dyDescent="0.35">
      <c r="A1323" s="57"/>
      <c r="B1323" s="57"/>
      <c r="C1323" s="61"/>
      <c r="D1323" s="61"/>
      <c r="E1323" s="61"/>
      <c r="F1323" s="61"/>
      <c r="G1323" s="57"/>
      <c r="H1323" s="61"/>
      <c r="I1323" s="61"/>
      <c r="J1323" s="61"/>
      <c r="K1323" s="57"/>
      <c r="L1323" s="57"/>
      <c r="M1323" s="57"/>
      <c r="N1323" s="199"/>
    </row>
    <row r="1324" spans="1:14" x14ac:dyDescent="0.35">
      <c r="A1324" s="57"/>
      <c r="B1324" s="57"/>
      <c r="C1324" s="61"/>
      <c r="D1324" s="61"/>
      <c r="E1324" s="61"/>
      <c r="F1324" s="61"/>
      <c r="G1324" s="57"/>
      <c r="H1324" s="61"/>
      <c r="I1324" s="61"/>
      <c r="J1324" s="61"/>
      <c r="K1324" s="57"/>
      <c r="L1324" s="57"/>
      <c r="M1324" s="57"/>
      <c r="N1324" s="199"/>
    </row>
    <row r="1325" spans="1:14" x14ac:dyDescent="0.35">
      <c r="A1325" s="57"/>
      <c r="B1325" s="57"/>
      <c r="C1325" s="61"/>
      <c r="D1325" s="61"/>
      <c r="E1325" s="61"/>
      <c r="F1325" s="61"/>
      <c r="G1325" s="57"/>
      <c r="H1325" s="61"/>
      <c r="I1325" s="61"/>
      <c r="J1325" s="61"/>
      <c r="K1325" s="57"/>
      <c r="L1325" s="57"/>
      <c r="M1325" s="57"/>
      <c r="N1325" s="199"/>
    </row>
    <row r="1326" spans="1:14" x14ac:dyDescent="0.35">
      <c r="A1326" s="57"/>
      <c r="B1326" s="57"/>
      <c r="C1326" s="61"/>
      <c r="D1326" s="61"/>
      <c r="E1326" s="61"/>
      <c r="F1326" s="61"/>
      <c r="G1326" s="57"/>
      <c r="H1326" s="61"/>
      <c r="I1326" s="61"/>
      <c r="J1326" s="61"/>
      <c r="K1326" s="57"/>
      <c r="L1326" s="57"/>
      <c r="M1326" s="57"/>
      <c r="N1326" s="199"/>
    </row>
    <row r="1327" spans="1:14" x14ac:dyDescent="0.35">
      <c r="A1327" s="57"/>
      <c r="B1327" s="57"/>
      <c r="C1327" s="61"/>
      <c r="D1327" s="61"/>
      <c r="E1327" s="61"/>
      <c r="F1327" s="61"/>
      <c r="G1327" s="57"/>
      <c r="H1327" s="61"/>
      <c r="I1327" s="61"/>
      <c r="J1327" s="61"/>
      <c r="K1327" s="57"/>
      <c r="L1327" s="57"/>
      <c r="M1327" s="57"/>
      <c r="N1327" s="199"/>
    </row>
    <row r="1328" spans="1:14" x14ac:dyDescent="0.35">
      <c r="A1328" s="57"/>
      <c r="B1328" s="57"/>
      <c r="C1328" s="61"/>
      <c r="D1328" s="61"/>
      <c r="E1328" s="61"/>
      <c r="F1328" s="61"/>
      <c r="G1328" s="57"/>
      <c r="H1328" s="61"/>
      <c r="I1328" s="61"/>
      <c r="J1328" s="61"/>
      <c r="K1328" s="57"/>
      <c r="L1328" s="57"/>
      <c r="M1328" s="57"/>
      <c r="N1328" s="199"/>
    </row>
    <row r="1329" spans="1:14" x14ac:dyDescent="0.35">
      <c r="A1329" s="57"/>
      <c r="B1329" s="57"/>
      <c r="C1329" s="61"/>
      <c r="D1329" s="61"/>
      <c r="E1329" s="61"/>
      <c r="F1329" s="61"/>
      <c r="G1329" s="57"/>
      <c r="H1329" s="61"/>
      <c r="I1329" s="61"/>
      <c r="J1329" s="61"/>
      <c r="K1329" s="57"/>
      <c r="L1329" s="57"/>
      <c r="M1329" s="57"/>
      <c r="N1329" s="199"/>
    </row>
    <row r="1330" spans="1:14" x14ac:dyDescent="0.35">
      <c r="A1330" s="57"/>
      <c r="B1330" s="57"/>
      <c r="C1330" s="61"/>
      <c r="D1330" s="61"/>
      <c r="E1330" s="61"/>
      <c r="F1330" s="61"/>
      <c r="G1330" s="57"/>
      <c r="H1330" s="61"/>
      <c r="I1330" s="61"/>
      <c r="J1330" s="61"/>
      <c r="K1330" s="57"/>
      <c r="L1330" s="57"/>
      <c r="M1330" s="57"/>
      <c r="N1330" s="199"/>
    </row>
    <row r="1331" spans="1:14" x14ac:dyDescent="0.35">
      <c r="A1331" s="57"/>
      <c r="B1331" s="57"/>
      <c r="C1331" s="61"/>
      <c r="D1331" s="61"/>
      <c r="E1331" s="61"/>
      <c r="F1331" s="61"/>
      <c r="G1331" s="57"/>
      <c r="H1331" s="61"/>
      <c r="I1331" s="61"/>
      <c r="J1331" s="61"/>
      <c r="K1331" s="57"/>
      <c r="L1331" s="57"/>
      <c r="M1331" s="57"/>
      <c r="N1331" s="199"/>
    </row>
    <row r="1332" spans="1:14" x14ac:dyDescent="0.35">
      <c r="A1332" s="57"/>
      <c r="B1332" s="57"/>
      <c r="C1332" s="61"/>
      <c r="D1332" s="61"/>
      <c r="E1332" s="61"/>
      <c r="F1332" s="61"/>
      <c r="G1332" s="57"/>
      <c r="H1332" s="61"/>
      <c r="I1332" s="61"/>
      <c r="J1332" s="61"/>
      <c r="K1332" s="57"/>
      <c r="L1332" s="57"/>
      <c r="M1332" s="57"/>
      <c r="N1332" s="199"/>
    </row>
    <row r="1333" spans="1:14" x14ac:dyDescent="0.35">
      <c r="A1333" s="57"/>
      <c r="B1333" s="57"/>
      <c r="C1333" s="61"/>
      <c r="D1333" s="61"/>
      <c r="E1333" s="61"/>
      <c r="F1333" s="61"/>
      <c r="G1333" s="57"/>
      <c r="H1333" s="61"/>
      <c r="I1333" s="61"/>
      <c r="J1333" s="61"/>
      <c r="K1333" s="57"/>
      <c r="L1333" s="57"/>
      <c r="M1333" s="57"/>
      <c r="N1333" s="199"/>
    </row>
    <row r="1334" spans="1:14" x14ac:dyDescent="0.35">
      <c r="A1334" s="57"/>
      <c r="B1334" s="57"/>
      <c r="C1334" s="61"/>
      <c r="D1334" s="61"/>
      <c r="E1334" s="61"/>
      <c r="F1334" s="61"/>
      <c r="G1334" s="57"/>
      <c r="H1334" s="61"/>
      <c r="I1334" s="61"/>
      <c r="J1334" s="61"/>
      <c r="K1334" s="57"/>
      <c r="L1334" s="57"/>
      <c r="M1334" s="57"/>
      <c r="N1334" s="199"/>
    </row>
    <row r="1335" spans="1:14" x14ac:dyDescent="0.35">
      <c r="A1335" s="57"/>
      <c r="B1335" s="57"/>
      <c r="C1335" s="61"/>
      <c r="D1335" s="61"/>
      <c r="E1335" s="61"/>
      <c r="F1335" s="61"/>
      <c r="G1335" s="57"/>
      <c r="H1335" s="61"/>
      <c r="I1335" s="61"/>
      <c r="J1335" s="61"/>
      <c r="K1335" s="57"/>
      <c r="L1335" s="57"/>
      <c r="M1335" s="57"/>
      <c r="N1335" s="199"/>
    </row>
    <row r="1336" spans="1:14" x14ac:dyDescent="0.35">
      <c r="A1336" s="57"/>
      <c r="B1336" s="57"/>
      <c r="C1336" s="61"/>
      <c r="D1336" s="61"/>
      <c r="E1336" s="61"/>
      <c r="F1336" s="61"/>
      <c r="G1336" s="57"/>
      <c r="H1336" s="61"/>
      <c r="I1336" s="61"/>
      <c r="J1336" s="61"/>
      <c r="K1336" s="57"/>
      <c r="L1336" s="57"/>
      <c r="M1336" s="57"/>
      <c r="N1336" s="199"/>
    </row>
    <row r="1337" spans="1:14" x14ac:dyDescent="0.35">
      <c r="A1337" s="57"/>
      <c r="B1337" s="57"/>
      <c r="C1337" s="61"/>
      <c r="D1337" s="61"/>
      <c r="E1337" s="61"/>
      <c r="F1337" s="61"/>
      <c r="G1337" s="57"/>
      <c r="H1337" s="61"/>
      <c r="I1337" s="61"/>
      <c r="J1337" s="61"/>
      <c r="K1337" s="57"/>
      <c r="L1337" s="57"/>
      <c r="M1337" s="57"/>
      <c r="N1337" s="199"/>
    </row>
    <row r="1338" spans="1:14" x14ac:dyDescent="0.35">
      <c r="A1338" s="57"/>
      <c r="B1338" s="57"/>
      <c r="C1338" s="61"/>
      <c r="D1338" s="61"/>
      <c r="E1338" s="61"/>
      <c r="F1338" s="61"/>
      <c r="G1338" s="57"/>
      <c r="H1338" s="61"/>
      <c r="I1338" s="61"/>
      <c r="J1338" s="61"/>
      <c r="K1338" s="57"/>
      <c r="L1338" s="57"/>
      <c r="M1338" s="57"/>
      <c r="N1338" s="199"/>
    </row>
    <row r="1339" spans="1:14" x14ac:dyDescent="0.35">
      <c r="A1339" s="57"/>
      <c r="B1339" s="57"/>
      <c r="C1339" s="61"/>
      <c r="D1339" s="61"/>
      <c r="E1339" s="61"/>
      <c r="F1339" s="61"/>
      <c r="G1339" s="57"/>
      <c r="H1339" s="61"/>
      <c r="I1339" s="61"/>
      <c r="J1339" s="61"/>
      <c r="K1339" s="57"/>
      <c r="L1339" s="57"/>
      <c r="M1339" s="57"/>
      <c r="N1339" s="199"/>
    </row>
    <row r="1340" spans="1:14" x14ac:dyDescent="0.35">
      <c r="A1340" s="57"/>
      <c r="B1340" s="57"/>
      <c r="C1340" s="61"/>
      <c r="D1340" s="61"/>
      <c r="E1340" s="61"/>
      <c r="F1340" s="61"/>
      <c r="G1340" s="57"/>
      <c r="H1340" s="61"/>
      <c r="I1340" s="61"/>
      <c r="J1340" s="61"/>
      <c r="K1340" s="57"/>
      <c r="L1340" s="57"/>
      <c r="M1340" s="57"/>
      <c r="N1340" s="199"/>
    </row>
    <row r="1341" spans="1:14" x14ac:dyDescent="0.35">
      <c r="A1341" s="57"/>
      <c r="B1341" s="57"/>
      <c r="C1341" s="61"/>
      <c r="D1341" s="61"/>
      <c r="E1341" s="61"/>
      <c r="F1341" s="61"/>
      <c r="G1341" s="57"/>
      <c r="H1341" s="61"/>
      <c r="I1341" s="61"/>
      <c r="J1341" s="61"/>
      <c r="K1341" s="57"/>
      <c r="L1341" s="57"/>
      <c r="M1341" s="57"/>
      <c r="N1341" s="199"/>
    </row>
    <row r="1342" spans="1:14" x14ac:dyDescent="0.35">
      <c r="A1342" s="57"/>
      <c r="B1342" s="57"/>
      <c r="C1342" s="61"/>
      <c r="D1342" s="61"/>
      <c r="E1342" s="61"/>
      <c r="F1342" s="61"/>
      <c r="G1342" s="57"/>
      <c r="H1342" s="61"/>
      <c r="I1342" s="61"/>
      <c r="J1342" s="61"/>
      <c r="K1342" s="57"/>
      <c r="L1342" s="57"/>
      <c r="M1342" s="57"/>
      <c r="N1342" s="199"/>
    </row>
    <row r="1343" spans="1:14" x14ac:dyDescent="0.35">
      <c r="A1343" s="57"/>
      <c r="B1343" s="57"/>
      <c r="C1343" s="61"/>
      <c r="D1343" s="61"/>
      <c r="E1343" s="61"/>
      <c r="F1343" s="61"/>
      <c r="G1343" s="57"/>
      <c r="H1343" s="61"/>
      <c r="I1343" s="61"/>
      <c r="J1343" s="61"/>
      <c r="K1343" s="57"/>
      <c r="L1343" s="57"/>
      <c r="M1343" s="57"/>
      <c r="N1343" s="199"/>
    </row>
    <row r="1344" spans="1:14" x14ac:dyDescent="0.35">
      <c r="A1344" s="57"/>
      <c r="B1344" s="57"/>
      <c r="C1344" s="61"/>
      <c r="D1344" s="61"/>
      <c r="E1344" s="61"/>
      <c r="F1344" s="61"/>
      <c r="G1344" s="57"/>
      <c r="H1344" s="61"/>
      <c r="I1344" s="61"/>
      <c r="J1344" s="61"/>
      <c r="K1344" s="57"/>
      <c r="L1344" s="57"/>
      <c r="M1344" s="57"/>
      <c r="N1344" s="199"/>
    </row>
    <row r="1345" spans="1:14" x14ac:dyDescent="0.35">
      <c r="A1345" s="57"/>
      <c r="B1345" s="57"/>
      <c r="C1345" s="61"/>
      <c r="D1345" s="61"/>
      <c r="E1345" s="61"/>
      <c r="F1345" s="61"/>
      <c r="G1345" s="57"/>
      <c r="H1345" s="61"/>
      <c r="I1345" s="61"/>
      <c r="J1345" s="61"/>
      <c r="K1345" s="57"/>
      <c r="L1345" s="57"/>
      <c r="M1345" s="57"/>
      <c r="N1345" s="199"/>
    </row>
    <row r="1346" spans="1:14" x14ac:dyDescent="0.35">
      <c r="A1346" s="57"/>
      <c r="B1346" s="57"/>
      <c r="C1346" s="61"/>
      <c r="D1346" s="61"/>
      <c r="E1346" s="61"/>
      <c r="F1346" s="61"/>
      <c r="G1346" s="57"/>
      <c r="H1346" s="61"/>
      <c r="I1346" s="61"/>
      <c r="J1346" s="61"/>
      <c r="K1346" s="57"/>
      <c r="L1346" s="57"/>
      <c r="M1346" s="57"/>
      <c r="N1346" s="199"/>
    </row>
    <row r="1347" spans="1:14" x14ac:dyDescent="0.35">
      <c r="A1347" s="57"/>
      <c r="B1347" s="57"/>
      <c r="C1347" s="61"/>
      <c r="D1347" s="61"/>
      <c r="E1347" s="61"/>
      <c r="F1347" s="61"/>
      <c r="G1347" s="57"/>
      <c r="H1347" s="61"/>
      <c r="I1347" s="61"/>
      <c r="J1347" s="61"/>
      <c r="K1347" s="57"/>
      <c r="L1347" s="57"/>
      <c r="M1347" s="57"/>
      <c r="N1347" s="199"/>
    </row>
    <row r="1348" spans="1:14" x14ac:dyDescent="0.35">
      <c r="A1348" s="57"/>
      <c r="B1348" s="57"/>
      <c r="C1348" s="61"/>
      <c r="D1348" s="61"/>
      <c r="E1348" s="61"/>
      <c r="F1348" s="61"/>
      <c r="G1348" s="57"/>
      <c r="H1348" s="61"/>
      <c r="I1348" s="61"/>
      <c r="J1348" s="61"/>
      <c r="K1348" s="57"/>
      <c r="L1348" s="57"/>
      <c r="M1348" s="57"/>
      <c r="N1348" s="199"/>
    </row>
    <row r="1349" spans="1:14" x14ac:dyDescent="0.35">
      <c r="A1349" s="57"/>
      <c r="B1349" s="57"/>
      <c r="C1349" s="61"/>
      <c r="D1349" s="61"/>
      <c r="E1349" s="61"/>
      <c r="F1349" s="61"/>
      <c r="G1349" s="57"/>
      <c r="H1349" s="61"/>
      <c r="I1349" s="61"/>
      <c r="J1349" s="61"/>
      <c r="K1349" s="57"/>
      <c r="L1349" s="57"/>
      <c r="M1349" s="57"/>
      <c r="N1349" s="199"/>
    </row>
    <row r="1350" spans="1:14" x14ac:dyDescent="0.35">
      <c r="A1350" s="57"/>
      <c r="B1350" s="57"/>
      <c r="C1350" s="61"/>
      <c r="D1350" s="61"/>
      <c r="E1350" s="61"/>
      <c r="F1350" s="61"/>
      <c r="G1350" s="57"/>
      <c r="H1350" s="61"/>
      <c r="I1350" s="61"/>
      <c r="J1350" s="61"/>
      <c r="K1350" s="57"/>
      <c r="L1350" s="57"/>
      <c r="M1350" s="57"/>
      <c r="N1350" s="199"/>
    </row>
    <row r="1351" spans="1:14" x14ac:dyDescent="0.35">
      <c r="A1351" s="57"/>
      <c r="B1351" s="57"/>
      <c r="C1351" s="61"/>
      <c r="D1351" s="61"/>
      <c r="E1351" s="61"/>
      <c r="F1351" s="61"/>
      <c r="G1351" s="57"/>
      <c r="H1351" s="61"/>
      <c r="I1351" s="61"/>
      <c r="J1351" s="61"/>
      <c r="K1351" s="57"/>
      <c r="L1351" s="57"/>
      <c r="M1351" s="57"/>
      <c r="N1351" s="199"/>
    </row>
    <row r="1352" spans="1:14" x14ac:dyDescent="0.35">
      <c r="A1352" s="57"/>
      <c r="B1352" s="57"/>
      <c r="C1352" s="61"/>
      <c r="D1352" s="61"/>
      <c r="E1352" s="61"/>
      <c r="F1352" s="61"/>
      <c r="G1352" s="57"/>
      <c r="H1352" s="61"/>
      <c r="I1352" s="61"/>
      <c r="J1352" s="61"/>
      <c r="K1352" s="57"/>
      <c r="L1352" s="57"/>
      <c r="M1352" s="57"/>
      <c r="N1352" s="199"/>
    </row>
    <row r="1353" spans="1:14" x14ac:dyDescent="0.35">
      <c r="A1353" s="57"/>
      <c r="B1353" s="57"/>
      <c r="C1353" s="61"/>
      <c r="D1353" s="61"/>
      <c r="E1353" s="61"/>
      <c r="F1353" s="61"/>
      <c r="G1353" s="57"/>
      <c r="H1353" s="61"/>
      <c r="I1353" s="61"/>
      <c r="J1353" s="61"/>
      <c r="K1353" s="57"/>
      <c r="L1353" s="57"/>
      <c r="M1353" s="57"/>
      <c r="N1353" s="199"/>
    </row>
    <row r="1354" spans="1:14" x14ac:dyDescent="0.35">
      <c r="A1354" s="57"/>
      <c r="B1354" s="57"/>
      <c r="C1354" s="61"/>
      <c r="D1354" s="61"/>
      <c r="E1354" s="61"/>
      <c r="F1354" s="61"/>
      <c r="G1354" s="57"/>
      <c r="H1354" s="61"/>
      <c r="I1354" s="61"/>
      <c r="J1354" s="61"/>
      <c r="K1354" s="57"/>
      <c r="L1354" s="57"/>
      <c r="M1354" s="57"/>
      <c r="N1354" s="199"/>
    </row>
    <row r="1355" spans="1:14" x14ac:dyDescent="0.35">
      <c r="A1355" s="57"/>
      <c r="B1355" s="57"/>
      <c r="C1355" s="61"/>
      <c r="D1355" s="61"/>
      <c r="E1355" s="61"/>
      <c r="F1355" s="61"/>
      <c r="G1355" s="57"/>
      <c r="H1355" s="61"/>
      <c r="I1355" s="61"/>
      <c r="J1355" s="61"/>
      <c r="K1355" s="57"/>
      <c r="L1355" s="57"/>
      <c r="M1355" s="57"/>
      <c r="N1355" s="199"/>
    </row>
    <row r="1356" spans="1:14" x14ac:dyDescent="0.35">
      <c r="A1356" s="57"/>
      <c r="B1356" s="57"/>
      <c r="C1356" s="61"/>
      <c r="D1356" s="61"/>
      <c r="E1356" s="61"/>
      <c r="F1356" s="61"/>
      <c r="G1356" s="57"/>
      <c r="H1356" s="61"/>
      <c r="I1356" s="61"/>
      <c r="J1356" s="61"/>
      <c r="K1356" s="57"/>
      <c r="L1356" s="57"/>
      <c r="M1356" s="57"/>
      <c r="N1356" s="199"/>
    </row>
    <row r="1357" spans="1:14" x14ac:dyDescent="0.35">
      <c r="A1357" s="57"/>
      <c r="B1357" s="57"/>
      <c r="C1357" s="61"/>
      <c r="D1357" s="61"/>
      <c r="E1357" s="61"/>
      <c r="F1357" s="61"/>
      <c r="G1357" s="57"/>
      <c r="H1357" s="61"/>
      <c r="I1357" s="61"/>
      <c r="J1357" s="61"/>
      <c r="K1357" s="57"/>
      <c r="L1357" s="57"/>
      <c r="M1357" s="57"/>
      <c r="N1357" s="199"/>
    </row>
    <row r="1358" spans="1:14" x14ac:dyDescent="0.35">
      <c r="A1358" s="57"/>
      <c r="B1358" s="57"/>
      <c r="C1358" s="61"/>
      <c r="D1358" s="61"/>
      <c r="E1358" s="61"/>
      <c r="F1358" s="61"/>
      <c r="G1358" s="57"/>
      <c r="H1358" s="61"/>
      <c r="I1358" s="61"/>
      <c r="J1358" s="61"/>
      <c r="K1358" s="57"/>
      <c r="L1358" s="57"/>
      <c r="M1358" s="57"/>
      <c r="N1358" s="199"/>
    </row>
    <row r="1359" spans="1:14" x14ac:dyDescent="0.35">
      <c r="A1359" s="57"/>
      <c r="B1359" s="57"/>
      <c r="C1359" s="61"/>
      <c r="D1359" s="61"/>
      <c r="E1359" s="61"/>
      <c r="F1359" s="61"/>
      <c r="G1359" s="57"/>
      <c r="H1359" s="61"/>
      <c r="I1359" s="61"/>
      <c r="J1359" s="61"/>
      <c r="K1359" s="57"/>
      <c r="L1359" s="57"/>
      <c r="M1359" s="57"/>
      <c r="N1359" s="199"/>
    </row>
    <row r="1360" spans="1:14" x14ac:dyDescent="0.35">
      <c r="A1360" s="57"/>
      <c r="B1360" s="57"/>
      <c r="C1360" s="61"/>
      <c r="D1360" s="61"/>
      <c r="E1360" s="61"/>
      <c r="F1360" s="61"/>
      <c r="G1360" s="57"/>
      <c r="H1360" s="61"/>
      <c r="I1360" s="61"/>
      <c r="J1360" s="61"/>
      <c r="K1360" s="57"/>
      <c r="L1360" s="57"/>
      <c r="M1360" s="57"/>
      <c r="N1360" s="199"/>
    </row>
    <row r="1361" spans="1:14" x14ac:dyDescent="0.35">
      <c r="A1361" s="57"/>
      <c r="B1361" s="57"/>
      <c r="C1361" s="61"/>
      <c r="D1361" s="61"/>
      <c r="E1361" s="61"/>
      <c r="F1361" s="61"/>
      <c r="G1361" s="57"/>
      <c r="H1361" s="61"/>
      <c r="I1361" s="61"/>
      <c r="J1361" s="61"/>
      <c r="K1361" s="57"/>
      <c r="L1361" s="57"/>
      <c r="M1361" s="57"/>
      <c r="N1361" s="199"/>
    </row>
    <row r="1362" spans="1:14" x14ac:dyDescent="0.35">
      <c r="A1362" s="57"/>
      <c r="B1362" s="57"/>
      <c r="C1362" s="61"/>
      <c r="D1362" s="61"/>
      <c r="E1362" s="61"/>
      <c r="F1362" s="61"/>
      <c r="G1362" s="57"/>
      <c r="H1362" s="61"/>
      <c r="I1362" s="61"/>
      <c r="J1362" s="61"/>
      <c r="K1362" s="57"/>
      <c r="L1362" s="57"/>
      <c r="M1362" s="57"/>
      <c r="N1362" s="199"/>
    </row>
    <row r="1363" spans="1:14" x14ac:dyDescent="0.35">
      <c r="A1363" s="57"/>
      <c r="B1363" s="57"/>
      <c r="C1363" s="61"/>
      <c r="D1363" s="61"/>
      <c r="E1363" s="61"/>
      <c r="F1363" s="61"/>
      <c r="G1363" s="57"/>
      <c r="H1363" s="61"/>
      <c r="I1363" s="61"/>
      <c r="J1363" s="61"/>
      <c r="K1363" s="57"/>
      <c r="L1363" s="57"/>
      <c r="M1363" s="57"/>
      <c r="N1363" s="199"/>
    </row>
    <row r="1364" spans="1:14" x14ac:dyDescent="0.35">
      <c r="A1364" s="57"/>
      <c r="B1364" s="57"/>
      <c r="C1364" s="61"/>
      <c r="D1364" s="61"/>
      <c r="E1364" s="61"/>
      <c r="F1364" s="61"/>
      <c r="G1364" s="57"/>
      <c r="H1364" s="61"/>
      <c r="I1364" s="61"/>
      <c r="J1364" s="61"/>
      <c r="K1364" s="57"/>
      <c r="L1364" s="57"/>
      <c r="M1364" s="57"/>
      <c r="N1364" s="199"/>
    </row>
    <row r="1365" spans="1:14" x14ac:dyDescent="0.35">
      <c r="A1365" s="57"/>
      <c r="B1365" s="57"/>
      <c r="C1365" s="61"/>
      <c r="D1365" s="61"/>
      <c r="E1365" s="61"/>
      <c r="F1365" s="61"/>
      <c r="G1365" s="57"/>
      <c r="H1365" s="61"/>
      <c r="I1365" s="61"/>
      <c r="J1365" s="61"/>
      <c r="K1365" s="57"/>
      <c r="L1365" s="57"/>
      <c r="M1365" s="57"/>
      <c r="N1365" s="199"/>
    </row>
    <row r="1366" spans="1:14" x14ac:dyDescent="0.35">
      <c r="A1366" s="57"/>
      <c r="B1366" s="57"/>
      <c r="C1366" s="61"/>
      <c r="D1366" s="61"/>
      <c r="E1366" s="61"/>
      <c r="F1366" s="61"/>
      <c r="G1366" s="57"/>
      <c r="H1366" s="61"/>
      <c r="I1366" s="61"/>
      <c r="J1366" s="61"/>
      <c r="K1366" s="57"/>
      <c r="L1366" s="57"/>
      <c r="M1366" s="57"/>
      <c r="N1366" s="199"/>
    </row>
    <row r="1367" spans="1:14" x14ac:dyDescent="0.35">
      <c r="A1367" s="57"/>
      <c r="B1367" s="57"/>
      <c r="C1367" s="61"/>
      <c r="D1367" s="61"/>
      <c r="E1367" s="61"/>
      <c r="F1367" s="61"/>
      <c r="G1367" s="57"/>
      <c r="H1367" s="61"/>
      <c r="I1367" s="61"/>
      <c r="J1367" s="61"/>
      <c r="K1367" s="57"/>
      <c r="L1367" s="57"/>
      <c r="M1367" s="57"/>
      <c r="N1367" s="199"/>
    </row>
    <row r="1368" spans="1:14" x14ac:dyDescent="0.35">
      <c r="A1368" s="57"/>
      <c r="B1368" s="57"/>
      <c r="C1368" s="61"/>
      <c r="D1368" s="61"/>
      <c r="E1368" s="61"/>
      <c r="F1368" s="61"/>
      <c r="G1368" s="57"/>
      <c r="H1368" s="61"/>
      <c r="I1368" s="61"/>
      <c r="J1368" s="61"/>
      <c r="K1368" s="57"/>
      <c r="L1368" s="57"/>
      <c r="M1368" s="57"/>
      <c r="N1368" s="199"/>
    </row>
    <row r="1369" spans="1:14" x14ac:dyDescent="0.35">
      <c r="A1369" s="57"/>
      <c r="B1369" s="57"/>
      <c r="C1369" s="61"/>
      <c r="D1369" s="61"/>
      <c r="E1369" s="61"/>
      <c r="F1369" s="61"/>
      <c r="G1369" s="57"/>
      <c r="H1369" s="61"/>
      <c r="I1369" s="61"/>
      <c r="J1369" s="61"/>
      <c r="K1369" s="57"/>
      <c r="L1369" s="57"/>
      <c r="M1369" s="57"/>
      <c r="N1369" s="199"/>
    </row>
    <row r="1370" spans="1:14" x14ac:dyDescent="0.35">
      <c r="A1370" s="57"/>
      <c r="B1370" s="57"/>
      <c r="C1370" s="61"/>
      <c r="D1370" s="61"/>
      <c r="E1370" s="61"/>
      <c r="F1370" s="61"/>
      <c r="G1370" s="57"/>
      <c r="H1370" s="61"/>
      <c r="I1370" s="61"/>
      <c r="J1370" s="61"/>
      <c r="K1370" s="57"/>
      <c r="L1370" s="57"/>
      <c r="M1370" s="57"/>
      <c r="N1370" s="199"/>
    </row>
    <row r="1371" spans="1:14" x14ac:dyDescent="0.35">
      <c r="A1371" s="57"/>
      <c r="B1371" s="57"/>
      <c r="C1371" s="61"/>
      <c r="D1371" s="61"/>
      <c r="E1371" s="61"/>
      <c r="F1371" s="61"/>
      <c r="G1371" s="57"/>
      <c r="H1371" s="61"/>
      <c r="I1371" s="61"/>
      <c r="J1371" s="61"/>
      <c r="K1371" s="57"/>
      <c r="L1371" s="57"/>
      <c r="M1371" s="57"/>
      <c r="N1371" s="199"/>
    </row>
    <row r="1372" spans="1:14" x14ac:dyDescent="0.35">
      <c r="A1372" s="57"/>
      <c r="B1372" s="57"/>
      <c r="C1372" s="61"/>
      <c r="D1372" s="61"/>
      <c r="E1372" s="61"/>
      <c r="F1372" s="61"/>
      <c r="G1372" s="57"/>
      <c r="H1372" s="61"/>
      <c r="I1372" s="61"/>
      <c r="J1372" s="61"/>
      <c r="K1372" s="57"/>
      <c r="L1372" s="57"/>
      <c r="M1372" s="57"/>
      <c r="N1372" s="199"/>
    </row>
    <row r="1373" spans="1:14" x14ac:dyDescent="0.35">
      <c r="A1373" s="57"/>
      <c r="B1373" s="57"/>
      <c r="C1373" s="61"/>
      <c r="D1373" s="61"/>
      <c r="E1373" s="61"/>
      <c r="F1373" s="61"/>
      <c r="G1373" s="57"/>
      <c r="H1373" s="61"/>
      <c r="I1373" s="61"/>
      <c r="J1373" s="61"/>
      <c r="K1373" s="57"/>
      <c r="L1373" s="57"/>
      <c r="M1373" s="57"/>
      <c r="N1373" s="199"/>
    </row>
    <row r="1374" spans="1:14" x14ac:dyDescent="0.35">
      <c r="A1374" s="57"/>
      <c r="B1374" s="57"/>
      <c r="C1374" s="61"/>
      <c r="D1374" s="61"/>
      <c r="E1374" s="61"/>
      <c r="F1374" s="61"/>
      <c r="G1374" s="57"/>
      <c r="H1374" s="61"/>
      <c r="I1374" s="61"/>
      <c r="J1374" s="61"/>
      <c r="K1374" s="57"/>
      <c r="L1374" s="57"/>
      <c r="M1374" s="57"/>
      <c r="N1374" s="199"/>
    </row>
    <row r="1375" spans="1:14" x14ac:dyDescent="0.35">
      <c r="A1375" s="57"/>
      <c r="B1375" s="57"/>
      <c r="C1375" s="61"/>
      <c r="D1375" s="61"/>
      <c r="E1375" s="61"/>
      <c r="F1375" s="61"/>
      <c r="G1375" s="57"/>
      <c r="H1375" s="61"/>
      <c r="I1375" s="61"/>
      <c r="J1375" s="61"/>
      <c r="K1375" s="57"/>
      <c r="L1375" s="57"/>
      <c r="M1375" s="57"/>
      <c r="N1375" s="199"/>
    </row>
    <row r="1376" spans="1:14" x14ac:dyDescent="0.35">
      <c r="A1376" s="57"/>
      <c r="B1376" s="57"/>
      <c r="C1376" s="61"/>
      <c r="D1376" s="61"/>
      <c r="E1376" s="61"/>
      <c r="F1376" s="61"/>
      <c r="G1376" s="57"/>
      <c r="H1376" s="61"/>
      <c r="I1376" s="61"/>
      <c r="J1376" s="61"/>
      <c r="K1376" s="57"/>
      <c r="L1376" s="57"/>
      <c r="M1376" s="57"/>
      <c r="N1376" s="199"/>
    </row>
    <row r="1377" spans="1:14" x14ac:dyDescent="0.35">
      <c r="A1377" s="57"/>
      <c r="B1377" s="57"/>
      <c r="C1377" s="61"/>
      <c r="D1377" s="61"/>
      <c r="E1377" s="61"/>
      <c r="F1377" s="61"/>
      <c r="G1377" s="57"/>
      <c r="H1377" s="61"/>
      <c r="I1377" s="61"/>
      <c r="J1377" s="61"/>
      <c r="K1377" s="57"/>
      <c r="L1377" s="57"/>
      <c r="M1377" s="57"/>
      <c r="N1377" s="199"/>
    </row>
    <row r="1378" spans="1:14" x14ac:dyDescent="0.35">
      <c r="A1378" s="57"/>
      <c r="B1378" s="57"/>
      <c r="C1378" s="61"/>
      <c r="D1378" s="61"/>
      <c r="E1378" s="61"/>
      <c r="F1378" s="61"/>
      <c r="G1378" s="57"/>
      <c r="H1378" s="61"/>
      <c r="I1378" s="61"/>
      <c r="J1378" s="61"/>
      <c r="K1378" s="57"/>
      <c r="L1378" s="57"/>
      <c r="M1378" s="57"/>
      <c r="N1378" s="199"/>
    </row>
    <row r="1379" spans="1:14" x14ac:dyDescent="0.35">
      <c r="A1379" s="57"/>
      <c r="B1379" s="57"/>
      <c r="C1379" s="61"/>
      <c r="D1379" s="61"/>
      <c r="E1379" s="61"/>
      <c r="F1379" s="61"/>
      <c r="G1379" s="57"/>
      <c r="H1379" s="61"/>
      <c r="I1379" s="61"/>
      <c r="J1379" s="61"/>
      <c r="K1379" s="57"/>
      <c r="L1379" s="57"/>
      <c r="M1379" s="57"/>
      <c r="N1379" s="199"/>
    </row>
    <row r="1380" spans="1:14" x14ac:dyDescent="0.35">
      <c r="A1380" s="57"/>
      <c r="B1380" s="57"/>
      <c r="C1380" s="61"/>
      <c r="D1380" s="61"/>
      <c r="E1380" s="61"/>
      <c r="F1380" s="61"/>
      <c r="G1380" s="57"/>
      <c r="H1380" s="61"/>
      <c r="I1380" s="61"/>
      <c r="J1380" s="61"/>
      <c r="K1380" s="57"/>
      <c r="L1380" s="57"/>
      <c r="M1380" s="57"/>
      <c r="N1380" s="199"/>
    </row>
    <row r="1381" spans="1:14" x14ac:dyDescent="0.35">
      <c r="A1381" s="57"/>
      <c r="B1381" s="57"/>
      <c r="C1381" s="61"/>
      <c r="D1381" s="61"/>
      <c r="E1381" s="61"/>
      <c r="F1381" s="61"/>
      <c r="G1381" s="57"/>
      <c r="H1381" s="61"/>
      <c r="I1381" s="61"/>
      <c r="J1381" s="61"/>
      <c r="K1381" s="57"/>
      <c r="L1381" s="57"/>
      <c r="M1381" s="57"/>
      <c r="N1381" s="199"/>
    </row>
    <row r="1382" spans="1:14" x14ac:dyDescent="0.35">
      <c r="A1382" s="57"/>
      <c r="B1382" s="57"/>
      <c r="C1382" s="61"/>
      <c r="D1382" s="61"/>
      <c r="E1382" s="61"/>
      <c r="F1382" s="61"/>
      <c r="G1382" s="57"/>
      <c r="H1382" s="61"/>
      <c r="I1382" s="61"/>
      <c r="J1382" s="61"/>
      <c r="K1382" s="57"/>
      <c r="L1382" s="57"/>
      <c r="M1382" s="57"/>
      <c r="N1382" s="199"/>
    </row>
    <row r="1383" spans="1:14" x14ac:dyDescent="0.35">
      <c r="A1383" s="57"/>
      <c r="B1383" s="57"/>
      <c r="C1383" s="61"/>
      <c r="D1383" s="61"/>
      <c r="E1383" s="61"/>
      <c r="F1383" s="61"/>
      <c r="G1383" s="57"/>
      <c r="H1383" s="61"/>
      <c r="I1383" s="61"/>
      <c r="J1383" s="61"/>
      <c r="K1383" s="57"/>
      <c r="L1383" s="57"/>
      <c r="M1383" s="57"/>
      <c r="N1383" s="199"/>
    </row>
    <row r="1384" spans="1:14" x14ac:dyDescent="0.35">
      <c r="A1384" s="57"/>
      <c r="B1384" s="57"/>
      <c r="C1384" s="61"/>
      <c r="D1384" s="61"/>
      <c r="E1384" s="61"/>
      <c r="F1384" s="61"/>
      <c r="G1384" s="57"/>
      <c r="H1384" s="61"/>
      <c r="I1384" s="61"/>
      <c r="J1384" s="61"/>
      <c r="K1384" s="57"/>
      <c r="L1384" s="57"/>
      <c r="M1384" s="57"/>
      <c r="N1384" s="199"/>
    </row>
    <row r="1385" spans="1:14" x14ac:dyDescent="0.35">
      <c r="A1385" s="57"/>
      <c r="B1385" s="57"/>
      <c r="C1385" s="61"/>
      <c r="D1385" s="61"/>
      <c r="E1385" s="61"/>
      <c r="F1385" s="61"/>
      <c r="G1385" s="57"/>
      <c r="H1385" s="61"/>
      <c r="I1385" s="61"/>
      <c r="J1385" s="61"/>
      <c r="K1385" s="57"/>
      <c r="L1385" s="57"/>
      <c r="M1385" s="57"/>
      <c r="N1385" s="199"/>
    </row>
    <row r="1386" spans="1:14" x14ac:dyDescent="0.35">
      <c r="A1386" s="57"/>
      <c r="B1386" s="57"/>
      <c r="C1386" s="61"/>
      <c r="D1386" s="61"/>
      <c r="E1386" s="61"/>
      <c r="F1386" s="61"/>
      <c r="G1386" s="57"/>
      <c r="H1386" s="61"/>
      <c r="I1386" s="61"/>
      <c r="J1386" s="61"/>
      <c r="K1386" s="57"/>
      <c r="L1386" s="57"/>
      <c r="M1386" s="57"/>
      <c r="N1386" s="199"/>
    </row>
    <row r="1387" spans="1:14" x14ac:dyDescent="0.35">
      <c r="A1387" s="57"/>
      <c r="B1387" s="57"/>
      <c r="C1387" s="61"/>
      <c r="D1387" s="61"/>
      <c r="E1387" s="61"/>
      <c r="F1387" s="61"/>
      <c r="G1387" s="57"/>
      <c r="H1387" s="61"/>
      <c r="I1387" s="61"/>
      <c r="J1387" s="61"/>
      <c r="K1387" s="57"/>
      <c r="L1387" s="57"/>
      <c r="M1387" s="57"/>
      <c r="N1387" s="199"/>
    </row>
    <row r="1388" spans="1:14" x14ac:dyDescent="0.35">
      <c r="A1388" s="57"/>
      <c r="B1388" s="57"/>
      <c r="C1388" s="61"/>
      <c r="D1388" s="61"/>
      <c r="E1388" s="61"/>
      <c r="F1388" s="61"/>
      <c r="G1388" s="57"/>
      <c r="H1388" s="61"/>
      <c r="I1388" s="61"/>
      <c r="J1388" s="61"/>
      <c r="K1388" s="57"/>
      <c r="L1388" s="57"/>
      <c r="M1388" s="57"/>
      <c r="N1388" s="199"/>
    </row>
    <row r="1389" spans="1:14" x14ac:dyDescent="0.35">
      <c r="A1389" s="57"/>
      <c r="B1389" s="57"/>
      <c r="C1389" s="61"/>
      <c r="D1389" s="61"/>
      <c r="E1389" s="61"/>
      <c r="F1389" s="61"/>
      <c r="G1389" s="57"/>
      <c r="H1389" s="61"/>
      <c r="I1389" s="61"/>
      <c r="J1389" s="61"/>
      <c r="K1389" s="57"/>
      <c r="L1389" s="57"/>
      <c r="M1389" s="57"/>
      <c r="N1389" s="199"/>
    </row>
    <row r="1390" spans="1:14" x14ac:dyDescent="0.35">
      <c r="A1390" s="57"/>
      <c r="B1390" s="57"/>
      <c r="C1390" s="61"/>
      <c r="D1390" s="61"/>
      <c r="E1390" s="61"/>
      <c r="F1390" s="61"/>
      <c r="G1390" s="57"/>
      <c r="H1390" s="61"/>
      <c r="I1390" s="61"/>
      <c r="J1390" s="61"/>
      <c r="K1390" s="57"/>
      <c r="L1390" s="57"/>
      <c r="M1390" s="57"/>
      <c r="N1390" s="199"/>
    </row>
    <row r="1391" spans="1:14" x14ac:dyDescent="0.35">
      <c r="A1391" s="57"/>
      <c r="B1391" s="57"/>
      <c r="C1391" s="61"/>
      <c r="D1391" s="61"/>
      <c r="E1391" s="61"/>
      <c r="F1391" s="61"/>
      <c r="G1391" s="57"/>
      <c r="H1391" s="61"/>
      <c r="I1391" s="61"/>
      <c r="J1391" s="61"/>
      <c r="K1391" s="57"/>
      <c r="L1391" s="57"/>
      <c r="M1391" s="57"/>
      <c r="N1391" s="199"/>
    </row>
    <row r="1392" spans="1:14" x14ac:dyDescent="0.35">
      <c r="A1392" s="57"/>
      <c r="B1392" s="57"/>
      <c r="C1392" s="61"/>
      <c r="D1392" s="61"/>
      <c r="E1392" s="61"/>
      <c r="F1392" s="61"/>
      <c r="G1392" s="57"/>
      <c r="H1392" s="61"/>
      <c r="I1392" s="61"/>
      <c r="J1392" s="61"/>
      <c r="K1392" s="57"/>
      <c r="L1392" s="57"/>
      <c r="M1392" s="57"/>
      <c r="N1392" s="199"/>
    </row>
    <row r="1393" spans="1:14" x14ac:dyDescent="0.35">
      <c r="A1393" s="57"/>
      <c r="B1393" s="57"/>
      <c r="C1393" s="61"/>
      <c r="D1393" s="61"/>
      <c r="E1393" s="61"/>
      <c r="F1393" s="61"/>
      <c r="G1393" s="57"/>
      <c r="H1393" s="61"/>
      <c r="I1393" s="61"/>
      <c r="J1393" s="61"/>
      <c r="K1393" s="57"/>
      <c r="L1393" s="57"/>
      <c r="M1393" s="57"/>
      <c r="N1393" s="199"/>
    </row>
    <row r="1394" spans="1:14" x14ac:dyDescent="0.35">
      <c r="A1394" s="57"/>
      <c r="B1394" s="57"/>
      <c r="C1394" s="61"/>
      <c r="D1394" s="61"/>
      <c r="E1394" s="61"/>
      <c r="F1394" s="61"/>
      <c r="G1394" s="57"/>
      <c r="H1394" s="61"/>
      <c r="I1394" s="61"/>
      <c r="J1394" s="61"/>
      <c r="K1394" s="57"/>
      <c r="L1394" s="57"/>
      <c r="M1394" s="57"/>
      <c r="N1394" s="199"/>
    </row>
    <row r="1395" spans="1:14" x14ac:dyDescent="0.35">
      <c r="A1395" s="57"/>
      <c r="B1395" s="57"/>
      <c r="C1395" s="61"/>
      <c r="D1395" s="61"/>
      <c r="E1395" s="61"/>
      <c r="F1395" s="61"/>
      <c r="G1395" s="57"/>
      <c r="H1395" s="61"/>
      <c r="I1395" s="61"/>
      <c r="J1395" s="61"/>
      <c r="K1395" s="57"/>
      <c r="L1395" s="57"/>
      <c r="M1395" s="57"/>
      <c r="N1395" s="199"/>
    </row>
    <row r="1396" spans="1:14" x14ac:dyDescent="0.35">
      <c r="A1396" s="57"/>
      <c r="B1396" s="57"/>
      <c r="C1396" s="61"/>
      <c r="D1396" s="61"/>
      <c r="E1396" s="61"/>
      <c r="F1396" s="61"/>
      <c r="G1396" s="57"/>
      <c r="H1396" s="61"/>
      <c r="I1396" s="61"/>
      <c r="J1396" s="61"/>
      <c r="K1396" s="57"/>
      <c r="L1396" s="57"/>
      <c r="M1396" s="57"/>
      <c r="N1396" s="199"/>
    </row>
    <row r="1397" spans="1:14" x14ac:dyDescent="0.35">
      <c r="A1397" s="57"/>
      <c r="B1397" s="57"/>
      <c r="C1397" s="61"/>
      <c r="D1397" s="61"/>
      <c r="E1397" s="61"/>
      <c r="F1397" s="61"/>
      <c r="G1397" s="57"/>
      <c r="H1397" s="61"/>
      <c r="I1397" s="61"/>
      <c r="J1397" s="61"/>
      <c r="K1397" s="57"/>
      <c r="L1397" s="57"/>
      <c r="M1397" s="57"/>
      <c r="N1397" s="199"/>
    </row>
    <row r="1398" spans="1:14" x14ac:dyDescent="0.35">
      <c r="A1398" s="57"/>
      <c r="B1398" s="57"/>
      <c r="C1398" s="61"/>
      <c r="D1398" s="61"/>
      <c r="E1398" s="61"/>
      <c r="F1398" s="61"/>
      <c r="G1398" s="57"/>
      <c r="H1398" s="61"/>
      <c r="I1398" s="61"/>
      <c r="J1398" s="61"/>
      <c r="K1398" s="57"/>
      <c r="L1398" s="57"/>
      <c r="M1398" s="57"/>
      <c r="N1398" s="199"/>
    </row>
    <row r="1399" spans="1:14" x14ac:dyDescent="0.35">
      <c r="A1399" s="57"/>
      <c r="B1399" s="57"/>
      <c r="C1399" s="61"/>
      <c r="D1399" s="61"/>
      <c r="E1399" s="61"/>
      <c r="F1399" s="61"/>
      <c r="G1399" s="57"/>
      <c r="H1399" s="61"/>
      <c r="I1399" s="61"/>
      <c r="J1399" s="61"/>
      <c r="K1399" s="57"/>
      <c r="L1399" s="57"/>
      <c r="M1399" s="57"/>
      <c r="N1399" s="199"/>
    </row>
    <row r="1400" spans="1:14" x14ac:dyDescent="0.35">
      <c r="A1400" s="57"/>
      <c r="B1400" s="57"/>
      <c r="C1400" s="61"/>
      <c r="D1400" s="61"/>
      <c r="E1400" s="61"/>
      <c r="F1400" s="61"/>
      <c r="G1400" s="57"/>
      <c r="H1400" s="61"/>
      <c r="I1400" s="61"/>
      <c r="J1400" s="61"/>
      <c r="K1400" s="57"/>
      <c r="L1400" s="57"/>
      <c r="M1400" s="57"/>
      <c r="N1400" s="199"/>
    </row>
    <row r="1401" spans="1:14" x14ac:dyDescent="0.35">
      <c r="A1401" s="57"/>
      <c r="B1401" s="57"/>
      <c r="C1401" s="61"/>
      <c r="D1401" s="61"/>
      <c r="E1401" s="61"/>
      <c r="F1401" s="61"/>
      <c r="G1401" s="57"/>
      <c r="H1401" s="61"/>
      <c r="I1401" s="61"/>
      <c r="J1401" s="61"/>
      <c r="K1401" s="57"/>
      <c r="L1401" s="57"/>
      <c r="M1401" s="57"/>
      <c r="N1401" s="199"/>
    </row>
    <row r="1402" spans="1:14" x14ac:dyDescent="0.35">
      <c r="A1402" s="57"/>
      <c r="B1402" s="57"/>
      <c r="C1402" s="61"/>
      <c r="D1402" s="61"/>
      <c r="E1402" s="61"/>
      <c r="F1402" s="61"/>
      <c r="G1402" s="57"/>
      <c r="H1402" s="61"/>
      <c r="I1402" s="61"/>
      <c r="J1402" s="61"/>
      <c r="K1402" s="57"/>
      <c r="L1402" s="57"/>
      <c r="M1402" s="57"/>
      <c r="N1402" s="199"/>
    </row>
    <row r="1403" spans="1:14" x14ac:dyDescent="0.35">
      <c r="A1403" s="57"/>
      <c r="B1403" s="57"/>
      <c r="C1403" s="61"/>
      <c r="D1403" s="61"/>
      <c r="E1403" s="61"/>
      <c r="F1403" s="61"/>
      <c r="G1403" s="57"/>
      <c r="H1403" s="61"/>
      <c r="I1403" s="61"/>
      <c r="J1403" s="61"/>
      <c r="K1403" s="57"/>
      <c r="L1403" s="57"/>
      <c r="M1403" s="57"/>
      <c r="N1403" s="199"/>
    </row>
    <row r="1404" spans="1:14" x14ac:dyDescent="0.35">
      <c r="A1404" s="57"/>
      <c r="B1404" s="57"/>
      <c r="C1404" s="61"/>
      <c r="D1404" s="61"/>
      <c r="E1404" s="61"/>
      <c r="F1404" s="61"/>
      <c r="G1404" s="57"/>
      <c r="H1404" s="61"/>
      <c r="I1404" s="61"/>
      <c r="J1404" s="61"/>
      <c r="K1404" s="57"/>
      <c r="L1404" s="57"/>
      <c r="M1404" s="57"/>
      <c r="N1404" s="199"/>
    </row>
    <row r="1405" spans="1:14" x14ac:dyDescent="0.35">
      <c r="A1405" s="57"/>
      <c r="B1405" s="57"/>
      <c r="C1405" s="61"/>
      <c r="D1405" s="61"/>
      <c r="E1405" s="61"/>
      <c r="F1405" s="61"/>
      <c r="G1405" s="57"/>
      <c r="H1405" s="61"/>
      <c r="I1405" s="61"/>
      <c r="J1405" s="61"/>
      <c r="K1405" s="57"/>
      <c r="L1405" s="57"/>
      <c r="M1405" s="57"/>
      <c r="N1405" s="199"/>
    </row>
    <row r="1406" spans="1:14" x14ac:dyDescent="0.35">
      <c r="A1406" s="57"/>
      <c r="B1406" s="57"/>
      <c r="C1406" s="61"/>
      <c r="D1406" s="61"/>
      <c r="E1406" s="61"/>
      <c r="F1406" s="61"/>
      <c r="G1406" s="57"/>
      <c r="H1406" s="61"/>
      <c r="I1406" s="61"/>
      <c r="J1406" s="61"/>
      <c r="K1406" s="57"/>
      <c r="L1406" s="57"/>
      <c r="M1406" s="57"/>
      <c r="N1406" s="199"/>
    </row>
    <row r="1407" spans="1:14" x14ac:dyDescent="0.35">
      <c r="A1407" s="57"/>
      <c r="B1407" s="57"/>
      <c r="C1407" s="61"/>
      <c r="D1407" s="61"/>
      <c r="E1407" s="61"/>
      <c r="F1407" s="61"/>
      <c r="G1407" s="57"/>
      <c r="H1407" s="61"/>
      <c r="I1407" s="61"/>
      <c r="J1407" s="61"/>
      <c r="K1407" s="57"/>
      <c r="L1407" s="57"/>
      <c r="M1407" s="57"/>
      <c r="N1407" s="199"/>
    </row>
    <row r="1408" spans="1:14" x14ac:dyDescent="0.35">
      <c r="A1408" s="57"/>
      <c r="B1408" s="57"/>
      <c r="C1408" s="61"/>
      <c r="D1408" s="61"/>
      <c r="E1408" s="61"/>
      <c r="F1408" s="61"/>
      <c r="G1408" s="57"/>
      <c r="H1408" s="61"/>
      <c r="I1408" s="61"/>
      <c r="J1408" s="61"/>
      <c r="K1408" s="57"/>
      <c r="L1408" s="57"/>
      <c r="M1408" s="57"/>
      <c r="N1408" s="199"/>
    </row>
    <row r="1409" spans="1:14" x14ac:dyDescent="0.35">
      <c r="A1409" s="57"/>
      <c r="B1409" s="57"/>
      <c r="C1409" s="61"/>
      <c r="D1409" s="61"/>
      <c r="E1409" s="61"/>
      <c r="F1409" s="61"/>
      <c r="G1409" s="57"/>
      <c r="H1409" s="61"/>
      <c r="I1409" s="61"/>
      <c r="J1409" s="61"/>
      <c r="K1409" s="57"/>
      <c r="L1409" s="57"/>
      <c r="M1409" s="57"/>
      <c r="N1409" s="199"/>
    </row>
    <row r="1410" spans="1:14" x14ac:dyDescent="0.35">
      <c r="A1410" s="57"/>
      <c r="B1410" s="57"/>
      <c r="C1410" s="61"/>
      <c r="D1410" s="61"/>
      <c r="E1410" s="61"/>
      <c r="F1410" s="61"/>
      <c r="G1410" s="57"/>
      <c r="H1410" s="61"/>
      <c r="I1410" s="61"/>
      <c r="J1410" s="61"/>
      <c r="K1410" s="57"/>
      <c r="L1410" s="57"/>
      <c r="M1410" s="57"/>
      <c r="N1410" s="199"/>
    </row>
    <row r="1411" spans="1:14" x14ac:dyDescent="0.35">
      <c r="A1411" s="57"/>
      <c r="B1411" s="57"/>
      <c r="C1411" s="61"/>
      <c r="D1411" s="61"/>
      <c r="E1411" s="61"/>
      <c r="F1411" s="61"/>
      <c r="G1411" s="57"/>
      <c r="H1411" s="61"/>
      <c r="I1411" s="61"/>
      <c r="J1411" s="61"/>
      <c r="K1411" s="57"/>
      <c r="L1411" s="57"/>
      <c r="M1411" s="57"/>
      <c r="N1411" s="199"/>
    </row>
    <row r="1412" spans="1:14" x14ac:dyDescent="0.35">
      <c r="A1412" s="57"/>
      <c r="B1412" s="57"/>
      <c r="C1412" s="61"/>
      <c r="D1412" s="61"/>
      <c r="E1412" s="61"/>
      <c r="F1412" s="61"/>
      <c r="G1412" s="57"/>
      <c r="H1412" s="61"/>
      <c r="I1412" s="61"/>
      <c r="J1412" s="61"/>
      <c r="K1412" s="57"/>
      <c r="L1412" s="57"/>
      <c r="M1412" s="57"/>
      <c r="N1412" s="199"/>
    </row>
    <row r="1413" spans="1:14" x14ac:dyDescent="0.35">
      <c r="A1413" s="57"/>
      <c r="B1413" s="57"/>
      <c r="C1413" s="61"/>
      <c r="D1413" s="61"/>
      <c r="E1413" s="61"/>
      <c r="F1413" s="61"/>
      <c r="G1413" s="57"/>
      <c r="H1413" s="61"/>
      <c r="I1413" s="61"/>
      <c r="J1413" s="61"/>
      <c r="K1413" s="57"/>
      <c r="L1413" s="57"/>
      <c r="M1413" s="57"/>
      <c r="N1413" s="199"/>
    </row>
    <row r="1414" spans="1:14" x14ac:dyDescent="0.35">
      <c r="A1414" s="57"/>
      <c r="B1414" s="57"/>
      <c r="C1414" s="61"/>
      <c r="D1414" s="61"/>
      <c r="E1414" s="61"/>
      <c r="F1414" s="61"/>
      <c r="G1414" s="57"/>
      <c r="H1414" s="61"/>
      <c r="I1414" s="61"/>
      <c r="J1414" s="61"/>
      <c r="K1414" s="57"/>
      <c r="L1414" s="57"/>
      <c r="M1414" s="57"/>
      <c r="N1414" s="199"/>
    </row>
    <row r="1415" spans="1:14" x14ac:dyDescent="0.35">
      <c r="A1415" s="57"/>
      <c r="B1415" s="57"/>
      <c r="C1415" s="61"/>
      <c r="D1415" s="61"/>
      <c r="E1415" s="61"/>
      <c r="F1415" s="61"/>
      <c r="G1415" s="57"/>
      <c r="H1415" s="61"/>
      <c r="I1415" s="61"/>
      <c r="J1415" s="61"/>
      <c r="K1415" s="57"/>
      <c r="L1415" s="57"/>
      <c r="M1415" s="57"/>
      <c r="N1415" s="199"/>
    </row>
    <row r="1416" spans="1:14" x14ac:dyDescent="0.35">
      <c r="A1416" s="57"/>
      <c r="B1416" s="57"/>
      <c r="C1416" s="61"/>
      <c r="D1416" s="61"/>
      <c r="E1416" s="61"/>
      <c r="F1416" s="61"/>
      <c r="G1416" s="57"/>
      <c r="H1416" s="61"/>
      <c r="I1416" s="61"/>
      <c r="J1416" s="61"/>
      <c r="K1416" s="57"/>
      <c r="L1416" s="57"/>
      <c r="M1416" s="57"/>
      <c r="N1416" s="199"/>
    </row>
    <row r="1417" spans="1:14" x14ac:dyDescent="0.35">
      <c r="A1417" s="57"/>
      <c r="B1417" s="57"/>
      <c r="C1417" s="61"/>
      <c r="D1417" s="61"/>
      <c r="E1417" s="61"/>
      <c r="F1417" s="61"/>
      <c r="G1417" s="57"/>
      <c r="H1417" s="61"/>
      <c r="I1417" s="61"/>
      <c r="J1417" s="61"/>
      <c r="K1417" s="57"/>
      <c r="L1417" s="57"/>
      <c r="M1417" s="57"/>
      <c r="N1417" s="199"/>
    </row>
    <row r="1418" spans="1:14" x14ac:dyDescent="0.35">
      <c r="A1418" s="57"/>
      <c r="B1418" s="57"/>
      <c r="C1418" s="61"/>
      <c r="D1418" s="61"/>
      <c r="E1418" s="61"/>
      <c r="F1418" s="61"/>
      <c r="G1418" s="57"/>
      <c r="H1418" s="61"/>
      <c r="I1418" s="61"/>
      <c r="J1418" s="61"/>
      <c r="K1418" s="57"/>
      <c r="L1418" s="57"/>
      <c r="M1418" s="57"/>
      <c r="N1418" s="199"/>
    </row>
    <row r="1419" spans="1:14" x14ac:dyDescent="0.35">
      <c r="A1419" s="57"/>
      <c r="B1419" s="57"/>
      <c r="C1419" s="61"/>
      <c r="D1419" s="61"/>
      <c r="E1419" s="61"/>
      <c r="F1419" s="61"/>
      <c r="G1419" s="57"/>
      <c r="H1419" s="61"/>
      <c r="I1419" s="61"/>
      <c r="J1419" s="61"/>
      <c r="K1419" s="57"/>
      <c r="L1419" s="57"/>
      <c r="M1419" s="57"/>
      <c r="N1419" s="199"/>
    </row>
    <row r="1420" spans="1:14" x14ac:dyDescent="0.35">
      <c r="A1420" s="57"/>
      <c r="B1420" s="57"/>
      <c r="C1420" s="61"/>
      <c r="D1420" s="61"/>
      <c r="E1420" s="61"/>
      <c r="F1420" s="61"/>
      <c r="G1420" s="57"/>
      <c r="H1420" s="61"/>
      <c r="I1420" s="61"/>
      <c r="J1420" s="61"/>
      <c r="K1420" s="57"/>
      <c r="L1420" s="57"/>
      <c r="M1420" s="57"/>
      <c r="N1420" s="199"/>
    </row>
    <row r="1421" spans="1:14" x14ac:dyDescent="0.35">
      <c r="A1421" s="57"/>
      <c r="B1421" s="57"/>
      <c r="C1421" s="61"/>
      <c r="D1421" s="61"/>
      <c r="E1421" s="61"/>
      <c r="F1421" s="61"/>
      <c r="G1421" s="57"/>
      <c r="H1421" s="61"/>
      <c r="I1421" s="61"/>
      <c r="J1421" s="61"/>
      <c r="K1421" s="57"/>
      <c r="L1421" s="57"/>
      <c r="M1421" s="57"/>
      <c r="N1421" s="199"/>
    </row>
    <row r="1422" spans="1:14" x14ac:dyDescent="0.35">
      <c r="A1422" s="57"/>
      <c r="B1422" s="57"/>
      <c r="C1422" s="61"/>
      <c r="D1422" s="61"/>
      <c r="E1422" s="61"/>
      <c r="F1422" s="61"/>
      <c r="G1422" s="57"/>
      <c r="H1422" s="61"/>
      <c r="I1422" s="61"/>
      <c r="J1422" s="61"/>
      <c r="K1422" s="57"/>
      <c r="L1422" s="57"/>
      <c r="M1422" s="57"/>
      <c r="N1422" s="199"/>
    </row>
    <row r="1423" spans="1:14" x14ac:dyDescent="0.35">
      <c r="A1423" s="57"/>
      <c r="B1423" s="57"/>
      <c r="C1423" s="61"/>
      <c r="D1423" s="61"/>
      <c r="E1423" s="61"/>
      <c r="F1423" s="61"/>
      <c r="G1423" s="57"/>
      <c r="H1423" s="61"/>
      <c r="I1423" s="61"/>
      <c r="J1423" s="61"/>
      <c r="K1423" s="57"/>
      <c r="L1423" s="57"/>
      <c r="M1423" s="57"/>
      <c r="N1423" s="199"/>
    </row>
    <row r="1424" spans="1:14" x14ac:dyDescent="0.35">
      <c r="A1424" s="57"/>
      <c r="B1424" s="57"/>
      <c r="C1424" s="61"/>
      <c r="D1424" s="61"/>
      <c r="E1424" s="61"/>
      <c r="F1424" s="61"/>
      <c r="G1424" s="57"/>
      <c r="H1424" s="61"/>
      <c r="I1424" s="61"/>
      <c r="J1424" s="61"/>
      <c r="K1424" s="57"/>
      <c r="L1424" s="57"/>
      <c r="M1424" s="57"/>
      <c r="N1424" s="199"/>
    </row>
    <row r="1425" spans="1:14" x14ac:dyDescent="0.35">
      <c r="A1425" s="57"/>
      <c r="B1425" s="57"/>
      <c r="C1425" s="61"/>
      <c r="D1425" s="61"/>
      <c r="E1425" s="61"/>
      <c r="F1425" s="61"/>
      <c r="G1425" s="57"/>
      <c r="H1425" s="61"/>
      <c r="I1425" s="61"/>
      <c r="J1425" s="61"/>
      <c r="K1425" s="57"/>
      <c r="L1425" s="57"/>
      <c r="M1425" s="57"/>
      <c r="N1425" s="199"/>
    </row>
    <row r="1426" spans="1:14" x14ac:dyDescent="0.35">
      <c r="A1426" s="57"/>
      <c r="B1426" s="57"/>
      <c r="C1426" s="61"/>
      <c r="D1426" s="61"/>
      <c r="E1426" s="61"/>
      <c r="F1426" s="61"/>
      <c r="G1426" s="57"/>
      <c r="H1426" s="61"/>
      <c r="I1426" s="61"/>
      <c r="J1426" s="61"/>
      <c r="K1426" s="57"/>
      <c r="L1426" s="57"/>
      <c r="M1426" s="57"/>
      <c r="N1426" s="199"/>
    </row>
    <row r="1427" spans="1:14" x14ac:dyDescent="0.35">
      <c r="A1427" s="57"/>
      <c r="B1427" s="57"/>
      <c r="C1427" s="61"/>
      <c r="D1427" s="61"/>
      <c r="E1427" s="61"/>
      <c r="F1427" s="61"/>
      <c r="G1427" s="57"/>
      <c r="H1427" s="61"/>
      <c r="I1427" s="61"/>
      <c r="J1427" s="61"/>
      <c r="K1427" s="57"/>
      <c r="L1427" s="57"/>
      <c r="M1427" s="57"/>
      <c r="N1427" s="199"/>
    </row>
    <row r="1428" spans="1:14" x14ac:dyDescent="0.35">
      <c r="A1428" s="57"/>
      <c r="B1428" s="57"/>
      <c r="C1428" s="61"/>
      <c r="D1428" s="61"/>
      <c r="E1428" s="61"/>
      <c r="F1428" s="61"/>
      <c r="G1428" s="57"/>
      <c r="H1428" s="61"/>
      <c r="I1428" s="61"/>
      <c r="J1428" s="61"/>
      <c r="K1428" s="57"/>
      <c r="L1428" s="57"/>
      <c r="M1428" s="57"/>
      <c r="N1428" s="199"/>
    </row>
    <row r="1429" spans="1:14" x14ac:dyDescent="0.35">
      <c r="A1429" s="57"/>
      <c r="B1429" s="57"/>
      <c r="C1429" s="61"/>
      <c r="D1429" s="61"/>
      <c r="E1429" s="61"/>
      <c r="F1429" s="61"/>
      <c r="G1429" s="57"/>
      <c r="H1429" s="61"/>
      <c r="I1429" s="61"/>
      <c r="J1429" s="61"/>
      <c r="K1429" s="57"/>
      <c r="L1429" s="57"/>
      <c r="M1429" s="57"/>
      <c r="N1429" s="199"/>
    </row>
    <row r="1430" spans="1:14" x14ac:dyDescent="0.35">
      <c r="A1430" s="57"/>
      <c r="B1430" s="57"/>
      <c r="C1430" s="61"/>
      <c r="D1430" s="61"/>
      <c r="E1430" s="61"/>
      <c r="F1430" s="61"/>
      <c r="G1430" s="57"/>
      <c r="H1430" s="61"/>
      <c r="I1430" s="61"/>
      <c r="J1430" s="61"/>
      <c r="K1430" s="57"/>
      <c r="L1430" s="57"/>
      <c r="M1430" s="57"/>
      <c r="N1430" s="199"/>
    </row>
    <row r="1431" spans="1:14" x14ac:dyDescent="0.35">
      <c r="A1431" s="57"/>
      <c r="B1431" s="57"/>
      <c r="C1431" s="61"/>
      <c r="D1431" s="61"/>
      <c r="E1431" s="61"/>
      <c r="F1431" s="61"/>
      <c r="G1431" s="57"/>
      <c r="H1431" s="61"/>
      <c r="I1431" s="61"/>
      <c r="J1431" s="61"/>
      <c r="K1431" s="57"/>
      <c r="L1431" s="57"/>
      <c r="M1431" s="57"/>
      <c r="N1431" s="199"/>
    </row>
    <row r="1432" spans="1:14" x14ac:dyDescent="0.35">
      <c r="A1432" s="57"/>
      <c r="B1432" s="57"/>
      <c r="C1432" s="61"/>
      <c r="D1432" s="61"/>
      <c r="E1432" s="61"/>
      <c r="F1432" s="61"/>
      <c r="G1432" s="57"/>
      <c r="H1432" s="61"/>
      <c r="I1432" s="61"/>
      <c r="J1432" s="61"/>
      <c r="K1432" s="57"/>
      <c r="L1432" s="57"/>
      <c r="M1432" s="57"/>
      <c r="N1432" s="199"/>
    </row>
    <row r="1433" spans="1:14" x14ac:dyDescent="0.35">
      <c r="A1433" s="57"/>
      <c r="B1433" s="57"/>
      <c r="C1433" s="61"/>
      <c r="D1433" s="61"/>
      <c r="E1433" s="61"/>
      <c r="F1433" s="61"/>
      <c r="G1433" s="57"/>
      <c r="H1433" s="61"/>
      <c r="I1433" s="61"/>
      <c r="J1433" s="61"/>
      <c r="K1433" s="57"/>
      <c r="L1433" s="57"/>
      <c r="M1433" s="57"/>
      <c r="N1433" s="199"/>
    </row>
    <row r="1434" spans="1:14" x14ac:dyDescent="0.35">
      <c r="A1434" s="57"/>
      <c r="B1434" s="57"/>
      <c r="C1434" s="61"/>
      <c r="D1434" s="61"/>
      <c r="E1434" s="61"/>
      <c r="F1434" s="61"/>
      <c r="G1434" s="57"/>
      <c r="H1434" s="61"/>
      <c r="I1434" s="61"/>
      <c r="J1434" s="61"/>
      <c r="K1434" s="57"/>
      <c r="L1434" s="57"/>
      <c r="M1434" s="57"/>
      <c r="N1434" s="199"/>
    </row>
    <row r="1435" spans="1:14" x14ac:dyDescent="0.35">
      <c r="A1435" s="57"/>
      <c r="B1435" s="57"/>
      <c r="C1435" s="61"/>
      <c r="D1435" s="61"/>
      <c r="E1435" s="61"/>
      <c r="F1435" s="61"/>
      <c r="G1435" s="57"/>
      <c r="H1435" s="61"/>
      <c r="I1435" s="61"/>
      <c r="J1435" s="61"/>
      <c r="K1435" s="57"/>
      <c r="L1435" s="57"/>
      <c r="M1435" s="57"/>
      <c r="N1435" s="199"/>
    </row>
    <row r="1436" spans="1:14" x14ac:dyDescent="0.35">
      <c r="A1436" s="57"/>
      <c r="B1436" s="57"/>
      <c r="C1436" s="61"/>
      <c r="D1436" s="61"/>
      <c r="E1436" s="61"/>
      <c r="F1436" s="61"/>
      <c r="G1436" s="57"/>
      <c r="H1436" s="61"/>
      <c r="I1436" s="61"/>
      <c r="J1436" s="61"/>
      <c r="K1436" s="57"/>
      <c r="L1436" s="57"/>
      <c r="M1436" s="57"/>
      <c r="N1436" s="199"/>
    </row>
    <row r="1437" spans="1:14" x14ac:dyDescent="0.35">
      <c r="A1437" s="57"/>
      <c r="B1437" s="57"/>
      <c r="C1437" s="61"/>
      <c r="D1437" s="61"/>
      <c r="E1437" s="61"/>
      <c r="F1437" s="61"/>
      <c r="G1437" s="57"/>
      <c r="H1437" s="61"/>
      <c r="I1437" s="61"/>
      <c r="J1437" s="61"/>
      <c r="K1437" s="57"/>
      <c r="L1437" s="57"/>
      <c r="M1437" s="57"/>
      <c r="N1437" s="199"/>
    </row>
    <row r="1438" spans="1:14" x14ac:dyDescent="0.35">
      <c r="A1438" s="57"/>
      <c r="B1438" s="57"/>
      <c r="C1438" s="61"/>
      <c r="D1438" s="61"/>
      <c r="E1438" s="61"/>
      <c r="F1438" s="61"/>
      <c r="G1438" s="57"/>
      <c r="H1438" s="61"/>
      <c r="I1438" s="61"/>
      <c r="J1438" s="61"/>
      <c r="K1438" s="57"/>
      <c r="L1438" s="57"/>
      <c r="M1438" s="57"/>
      <c r="N1438" s="199"/>
    </row>
    <row r="1439" spans="1:14" x14ac:dyDescent="0.35">
      <c r="A1439" s="57"/>
      <c r="B1439" s="57"/>
      <c r="C1439" s="61"/>
      <c r="D1439" s="61"/>
      <c r="E1439" s="61"/>
      <c r="F1439" s="61"/>
      <c r="G1439" s="57"/>
      <c r="H1439" s="61"/>
      <c r="I1439" s="61"/>
      <c r="J1439" s="61"/>
      <c r="K1439" s="57"/>
      <c r="L1439" s="57"/>
      <c r="M1439" s="57"/>
      <c r="N1439" s="199"/>
    </row>
    <row r="1440" spans="1:14" x14ac:dyDescent="0.35">
      <c r="A1440" s="57"/>
      <c r="B1440" s="57"/>
      <c r="C1440" s="61"/>
      <c r="D1440" s="61"/>
      <c r="E1440" s="61"/>
      <c r="F1440" s="61"/>
      <c r="G1440" s="57"/>
      <c r="H1440" s="61"/>
      <c r="I1440" s="61"/>
      <c r="J1440" s="61"/>
      <c r="K1440" s="57"/>
      <c r="L1440" s="57"/>
      <c r="M1440" s="57"/>
      <c r="N1440" s="199"/>
    </row>
    <row r="1441" spans="1:14" x14ac:dyDescent="0.35">
      <c r="A1441" s="57"/>
      <c r="B1441" s="57"/>
      <c r="C1441" s="61"/>
      <c r="D1441" s="61"/>
      <c r="E1441" s="61"/>
      <c r="F1441" s="61"/>
      <c r="G1441" s="57"/>
      <c r="H1441" s="61"/>
      <c r="I1441" s="61"/>
      <c r="J1441" s="61"/>
      <c r="K1441" s="57"/>
      <c r="L1441" s="57"/>
      <c r="M1441" s="57"/>
      <c r="N1441" s="199"/>
    </row>
    <row r="1442" spans="1:14" x14ac:dyDescent="0.35">
      <c r="A1442" s="57"/>
      <c r="B1442" s="57"/>
      <c r="C1442" s="61"/>
      <c r="D1442" s="61"/>
      <c r="E1442" s="61"/>
      <c r="F1442" s="61"/>
      <c r="G1442" s="57"/>
      <c r="H1442" s="61"/>
      <c r="I1442" s="61"/>
      <c r="J1442" s="61"/>
      <c r="K1442" s="57"/>
      <c r="L1442" s="57"/>
      <c r="M1442" s="57"/>
      <c r="N1442" s="199"/>
    </row>
    <row r="1443" spans="1:14" x14ac:dyDescent="0.35">
      <c r="A1443" s="57"/>
      <c r="B1443" s="57"/>
      <c r="C1443" s="61"/>
      <c r="D1443" s="61"/>
      <c r="E1443" s="61"/>
      <c r="F1443" s="61"/>
      <c r="G1443" s="57"/>
      <c r="H1443" s="61"/>
      <c r="I1443" s="61"/>
      <c r="J1443" s="61"/>
      <c r="K1443" s="57"/>
      <c r="L1443" s="57"/>
      <c r="M1443" s="57"/>
      <c r="N1443" s="199"/>
    </row>
    <row r="1444" spans="1:14" x14ac:dyDescent="0.35">
      <c r="A1444" s="57"/>
      <c r="B1444" s="57"/>
      <c r="C1444" s="61"/>
      <c r="D1444" s="61"/>
      <c r="E1444" s="61"/>
      <c r="F1444" s="61"/>
      <c r="G1444" s="57"/>
      <c r="H1444" s="61"/>
      <c r="I1444" s="61"/>
      <c r="J1444" s="61"/>
      <c r="K1444" s="57"/>
      <c r="L1444" s="57"/>
      <c r="M1444" s="57"/>
      <c r="N1444" s="199"/>
    </row>
    <row r="1445" spans="1:14" x14ac:dyDescent="0.35">
      <c r="A1445" s="57"/>
      <c r="B1445" s="57"/>
      <c r="C1445" s="61"/>
      <c r="D1445" s="61"/>
      <c r="E1445" s="61"/>
      <c r="F1445" s="61"/>
      <c r="G1445" s="57"/>
      <c r="H1445" s="61"/>
      <c r="I1445" s="61"/>
      <c r="J1445" s="61"/>
      <c r="K1445" s="57"/>
      <c r="L1445" s="57"/>
      <c r="M1445" s="57"/>
      <c r="N1445" s="199"/>
    </row>
    <row r="1446" spans="1:14" x14ac:dyDescent="0.35">
      <c r="A1446" s="57"/>
      <c r="B1446" s="57"/>
      <c r="C1446" s="61"/>
      <c r="D1446" s="61"/>
      <c r="E1446" s="61"/>
      <c r="F1446" s="61"/>
      <c r="G1446" s="57"/>
      <c r="H1446" s="61"/>
      <c r="I1446" s="61"/>
      <c r="J1446" s="61"/>
      <c r="K1446" s="57"/>
      <c r="L1446" s="57"/>
      <c r="M1446" s="57"/>
      <c r="N1446" s="199"/>
    </row>
    <row r="1447" spans="1:14" x14ac:dyDescent="0.35">
      <c r="A1447" s="57"/>
      <c r="B1447" s="57"/>
      <c r="C1447" s="61"/>
      <c r="D1447" s="61"/>
      <c r="E1447" s="61"/>
      <c r="F1447" s="61"/>
      <c r="G1447" s="57"/>
      <c r="H1447" s="61"/>
      <c r="I1447" s="61"/>
      <c r="J1447" s="61"/>
      <c r="K1447" s="57"/>
      <c r="L1447" s="57"/>
      <c r="M1447" s="57"/>
      <c r="N1447" s="199"/>
    </row>
    <row r="1448" spans="1:14" x14ac:dyDescent="0.35">
      <c r="A1448" s="57"/>
      <c r="B1448" s="57"/>
      <c r="C1448" s="61"/>
      <c r="D1448" s="61"/>
      <c r="E1448" s="61"/>
      <c r="F1448" s="61"/>
      <c r="G1448" s="57"/>
      <c r="H1448" s="61"/>
      <c r="I1448" s="61"/>
      <c r="J1448" s="61"/>
      <c r="K1448" s="57"/>
      <c r="L1448" s="57"/>
      <c r="M1448" s="57"/>
      <c r="N1448" s="199"/>
    </row>
    <row r="1449" spans="1:14" x14ac:dyDescent="0.35">
      <c r="A1449" s="57"/>
      <c r="B1449" s="57"/>
      <c r="C1449" s="61"/>
      <c r="D1449" s="61"/>
      <c r="E1449" s="61"/>
      <c r="F1449" s="61"/>
      <c r="G1449" s="57"/>
      <c r="H1449" s="61"/>
      <c r="I1449" s="61"/>
      <c r="J1449" s="61"/>
      <c r="K1449" s="57"/>
      <c r="L1449" s="57"/>
      <c r="M1449" s="57"/>
      <c r="N1449" s="199"/>
    </row>
    <row r="1450" spans="1:14" x14ac:dyDescent="0.35">
      <c r="A1450" s="57"/>
      <c r="B1450" s="57"/>
      <c r="C1450" s="61"/>
      <c r="D1450" s="61"/>
      <c r="E1450" s="61"/>
      <c r="F1450" s="61"/>
      <c r="G1450" s="57"/>
      <c r="H1450" s="61"/>
      <c r="I1450" s="61"/>
      <c r="J1450" s="61"/>
      <c r="K1450" s="57"/>
      <c r="L1450" s="57"/>
      <c r="M1450" s="57"/>
      <c r="N1450" s="199"/>
    </row>
    <row r="1451" spans="1:14" x14ac:dyDescent="0.35">
      <c r="A1451" s="57"/>
      <c r="B1451" s="57"/>
      <c r="C1451" s="61"/>
      <c r="D1451" s="61"/>
      <c r="E1451" s="61"/>
      <c r="F1451" s="61"/>
      <c r="G1451" s="57"/>
      <c r="H1451" s="61"/>
      <c r="I1451" s="61"/>
      <c r="J1451" s="61"/>
      <c r="K1451" s="57"/>
      <c r="L1451" s="57"/>
      <c r="M1451" s="57"/>
      <c r="N1451" s="199"/>
    </row>
    <row r="1452" spans="1:14" x14ac:dyDescent="0.35">
      <c r="A1452" s="57"/>
      <c r="B1452" s="57"/>
      <c r="C1452" s="61"/>
      <c r="D1452" s="61"/>
      <c r="E1452" s="61"/>
      <c r="F1452" s="61"/>
      <c r="G1452" s="57"/>
      <c r="H1452" s="61"/>
      <c r="I1452" s="61"/>
      <c r="J1452" s="61"/>
      <c r="K1452" s="57"/>
      <c r="L1452" s="57"/>
      <c r="M1452" s="57"/>
      <c r="N1452" s="199"/>
    </row>
    <row r="1453" spans="1:14" x14ac:dyDescent="0.35">
      <c r="A1453" s="57"/>
      <c r="B1453" s="57"/>
      <c r="C1453" s="61"/>
      <c r="D1453" s="61"/>
      <c r="E1453" s="61"/>
      <c r="F1453" s="61"/>
      <c r="G1453" s="57"/>
      <c r="H1453" s="61"/>
      <c r="I1453" s="61"/>
      <c r="J1453" s="61"/>
      <c r="K1453" s="57"/>
      <c r="L1453" s="57"/>
      <c r="M1453" s="57"/>
      <c r="N1453" s="199"/>
    </row>
    <row r="1454" spans="1:14" x14ac:dyDescent="0.35">
      <c r="A1454" s="57"/>
      <c r="B1454" s="57"/>
      <c r="C1454" s="61"/>
      <c r="D1454" s="61"/>
      <c r="E1454" s="61"/>
      <c r="F1454" s="61"/>
      <c r="G1454" s="57"/>
      <c r="H1454" s="61"/>
      <c r="I1454" s="61"/>
      <c r="J1454" s="61"/>
      <c r="K1454" s="57"/>
      <c r="L1454" s="57"/>
      <c r="M1454" s="57"/>
      <c r="N1454" s="199"/>
    </row>
    <row r="1455" spans="1:14" x14ac:dyDescent="0.35">
      <c r="A1455" s="57"/>
      <c r="B1455" s="57"/>
      <c r="C1455" s="61"/>
      <c r="D1455" s="61"/>
      <c r="E1455" s="61"/>
      <c r="F1455" s="61"/>
      <c r="G1455" s="57"/>
      <c r="H1455" s="61"/>
      <c r="I1455" s="61"/>
      <c r="J1455" s="61"/>
      <c r="K1455" s="57"/>
      <c r="L1455" s="57"/>
      <c r="M1455" s="57"/>
      <c r="N1455" s="199"/>
    </row>
    <row r="1456" spans="1:14" x14ac:dyDescent="0.35">
      <c r="A1456" s="57"/>
      <c r="B1456" s="57"/>
      <c r="C1456" s="61"/>
      <c r="D1456" s="61"/>
      <c r="E1456" s="61"/>
      <c r="F1456" s="61"/>
      <c r="G1456" s="57"/>
      <c r="H1456" s="61"/>
      <c r="I1456" s="61"/>
      <c r="J1456" s="61"/>
      <c r="K1456" s="57"/>
      <c r="L1456" s="57"/>
      <c r="M1456" s="57"/>
      <c r="N1456" s="199"/>
    </row>
    <row r="1457" spans="1:14" x14ac:dyDescent="0.35">
      <c r="A1457" s="57"/>
      <c r="B1457" s="57"/>
      <c r="C1457" s="61"/>
      <c r="D1457" s="61"/>
      <c r="E1457" s="61"/>
      <c r="F1457" s="61"/>
      <c r="G1457" s="57"/>
      <c r="H1457" s="61"/>
      <c r="I1457" s="61"/>
      <c r="J1457" s="61"/>
      <c r="K1457" s="57"/>
      <c r="L1457" s="57"/>
      <c r="M1457" s="57"/>
      <c r="N1457" s="199"/>
    </row>
    <row r="1458" spans="1:14" x14ac:dyDescent="0.35">
      <c r="A1458" s="57"/>
      <c r="B1458" s="57"/>
      <c r="C1458" s="61"/>
      <c r="D1458" s="61"/>
      <c r="E1458" s="61"/>
      <c r="F1458" s="61"/>
      <c r="G1458" s="57"/>
      <c r="H1458" s="61"/>
      <c r="I1458" s="61"/>
      <c r="J1458" s="61"/>
      <c r="K1458" s="57"/>
      <c r="L1458" s="57"/>
      <c r="M1458" s="57"/>
      <c r="N1458" s="199"/>
    </row>
    <row r="1459" spans="1:14" x14ac:dyDescent="0.35">
      <c r="A1459" s="57"/>
      <c r="B1459" s="57"/>
      <c r="C1459" s="61"/>
      <c r="D1459" s="61"/>
      <c r="E1459" s="61"/>
      <c r="F1459" s="61"/>
      <c r="G1459" s="57"/>
      <c r="H1459" s="61"/>
      <c r="I1459" s="61"/>
      <c r="J1459" s="61"/>
      <c r="K1459" s="57"/>
      <c r="L1459" s="57"/>
      <c r="M1459" s="57"/>
      <c r="N1459" s="199"/>
    </row>
    <row r="1460" spans="1:14" x14ac:dyDescent="0.35">
      <c r="A1460" s="57"/>
      <c r="B1460" s="57"/>
      <c r="C1460" s="61"/>
      <c r="D1460" s="61"/>
      <c r="E1460" s="61"/>
      <c r="F1460" s="61"/>
      <c r="G1460" s="57"/>
      <c r="H1460" s="61"/>
      <c r="I1460" s="61"/>
      <c r="J1460" s="61"/>
      <c r="K1460" s="57"/>
      <c r="L1460" s="57"/>
      <c r="M1460" s="57"/>
      <c r="N1460" s="199"/>
    </row>
    <row r="1461" spans="1:14" x14ac:dyDescent="0.35">
      <c r="A1461" s="57"/>
      <c r="B1461" s="57"/>
      <c r="C1461" s="61"/>
      <c r="D1461" s="61"/>
      <c r="E1461" s="61"/>
      <c r="F1461" s="61"/>
      <c r="G1461" s="57"/>
      <c r="H1461" s="61"/>
      <c r="I1461" s="61"/>
      <c r="J1461" s="61"/>
      <c r="K1461" s="57"/>
      <c r="L1461" s="57"/>
      <c r="M1461" s="57"/>
      <c r="N1461" s="199"/>
    </row>
    <row r="1462" spans="1:14" x14ac:dyDescent="0.35">
      <c r="A1462" s="57"/>
      <c r="B1462" s="57"/>
      <c r="C1462" s="61"/>
      <c r="D1462" s="61"/>
      <c r="E1462" s="61"/>
      <c r="F1462" s="61"/>
      <c r="G1462" s="57"/>
      <c r="H1462" s="61"/>
      <c r="I1462" s="61"/>
      <c r="J1462" s="61"/>
      <c r="K1462" s="57"/>
      <c r="L1462" s="57"/>
      <c r="M1462" s="57"/>
      <c r="N1462" s="199"/>
    </row>
    <row r="1463" spans="1:14" x14ac:dyDescent="0.35">
      <c r="A1463" s="57"/>
      <c r="B1463" s="57"/>
      <c r="C1463" s="61"/>
      <c r="D1463" s="61"/>
      <c r="E1463" s="61"/>
      <c r="F1463" s="61"/>
      <c r="G1463" s="57"/>
      <c r="H1463" s="61"/>
      <c r="I1463" s="61"/>
      <c r="J1463" s="61"/>
      <c r="K1463" s="57"/>
      <c r="L1463" s="57"/>
      <c r="M1463" s="57"/>
      <c r="N1463" s="199"/>
    </row>
    <row r="1464" spans="1:14" x14ac:dyDescent="0.35">
      <c r="A1464" s="57"/>
      <c r="B1464" s="57"/>
      <c r="C1464" s="61"/>
      <c r="D1464" s="61"/>
      <c r="E1464" s="61"/>
      <c r="F1464" s="61"/>
      <c r="G1464" s="57"/>
      <c r="H1464" s="61"/>
      <c r="I1464" s="61"/>
      <c r="J1464" s="61"/>
      <c r="K1464" s="57"/>
      <c r="L1464" s="57"/>
      <c r="M1464" s="57"/>
      <c r="N1464" s="199"/>
    </row>
    <row r="1465" spans="1:14" x14ac:dyDescent="0.35">
      <c r="A1465" s="57"/>
      <c r="B1465" s="57"/>
      <c r="C1465" s="61"/>
      <c r="D1465" s="61"/>
      <c r="E1465" s="61"/>
      <c r="F1465" s="61"/>
      <c r="G1465" s="57"/>
      <c r="H1465" s="61"/>
      <c r="I1465" s="61"/>
      <c r="J1465" s="61"/>
      <c r="K1465" s="57"/>
      <c r="L1465" s="57"/>
      <c r="M1465" s="57"/>
      <c r="N1465" s="199"/>
    </row>
    <row r="1466" spans="1:14" x14ac:dyDescent="0.35">
      <c r="A1466" s="57"/>
      <c r="B1466" s="57"/>
      <c r="C1466" s="61"/>
      <c r="D1466" s="61"/>
      <c r="E1466" s="61"/>
      <c r="F1466" s="61"/>
      <c r="G1466" s="57"/>
      <c r="H1466" s="61"/>
      <c r="I1466" s="61"/>
      <c r="J1466" s="61"/>
      <c r="K1466" s="57"/>
      <c r="L1466" s="57"/>
      <c r="M1466" s="57"/>
      <c r="N1466" s="199"/>
    </row>
    <row r="1467" spans="1:14" x14ac:dyDescent="0.35">
      <c r="A1467" s="57"/>
      <c r="B1467" s="57"/>
      <c r="C1467" s="61"/>
      <c r="D1467" s="61"/>
      <c r="E1467" s="61"/>
      <c r="F1467" s="61"/>
      <c r="G1467" s="57"/>
      <c r="H1467" s="61"/>
      <c r="I1467" s="61"/>
      <c r="J1467" s="61"/>
      <c r="K1467" s="57"/>
      <c r="L1467" s="57"/>
      <c r="M1467" s="57"/>
      <c r="N1467" s="199"/>
    </row>
    <row r="1468" spans="1:14" x14ac:dyDescent="0.35">
      <c r="A1468" s="57"/>
      <c r="B1468" s="57"/>
      <c r="C1468" s="61"/>
      <c r="D1468" s="61"/>
      <c r="E1468" s="61"/>
      <c r="F1468" s="61"/>
      <c r="G1468" s="57"/>
      <c r="H1468" s="61"/>
      <c r="I1468" s="61"/>
      <c r="J1468" s="61"/>
      <c r="K1468" s="57"/>
      <c r="L1468" s="57"/>
      <c r="M1468" s="57"/>
      <c r="N1468" s="199"/>
    </row>
    <row r="1469" spans="1:14" x14ac:dyDescent="0.35">
      <c r="A1469" s="57"/>
      <c r="B1469" s="57"/>
      <c r="C1469" s="61"/>
      <c r="D1469" s="61"/>
      <c r="E1469" s="61"/>
      <c r="F1469" s="61"/>
      <c r="G1469" s="57"/>
      <c r="H1469" s="61"/>
      <c r="I1469" s="61"/>
      <c r="J1469" s="61"/>
      <c r="K1469" s="57"/>
      <c r="L1469" s="57"/>
      <c r="M1469" s="57"/>
      <c r="N1469" s="199"/>
    </row>
    <row r="1470" spans="1:14" x14ac:dyDescent="0.35">
      <c r="A1470" s="57"/>
      <c r="B1470" s="57"/>
      <c r="C1470" s="61"/>
      <c r="D1470" s="61"/>
      <c r="E1470" s="61"/>
      <c r="F1470" s="61"/>
      <c r="G1470" s="57"/>
      <c r="H1470" s="61"/>
      <c r="I1470" s="61"/>
      <c r="J1470" s="61"/>
      <c r="K1470" s="57"/>
      <c r="L1470" s="57"/>
      <c r="M1470" s="57"/>
      <c r="N1470" s="199"/>
    </row>
    <row r="1471" spans="1:14" x14ac:dyDescent="0.35">
      <c r="A1471" s="57"/>
      <c r="B1471" s="57"/>
      <c r="C1471" s="61"/>
      <c r="D1471" s="61"/>
      <c r="E1471" s="61"/>
      <c r="F1471" s="61"/>
      <c r="G1471" s="57"/>
      <c r="H1471" s="61"/>
      <c r="I1471" s="61"/>
      <c r="J1471" s="61"/>
      <c r="K1471" s="57"/>
      <c r="L1471" s="57"/>
      <c r="M1471" s="57"/>
      <c r="N1471" s="199"/>
    </row>
    <row r="1472" spans="1:14" x14ac:dyDescent="0.35">
      <c r="A1472" s="57"/>
      <c r="B1472" s="57"/>
      <c r="C1472" s="61"/>
      <c r="D1472" s="61"/>
      <c r="E1472" s="61"/>
      <c r="F1472" s="61"/>
      <c r="G1472" s="57"/>
      <c r="H1472" s="61"/>
      <c r="I1472" s="61"/>
      <c r="J1472" s="61"/>
      <c r="K1472" s="57"/>
      <c r="L1472" s="57"/>
      <c r="M1472" s="57"/>
      <c r="N1472" s="199"/>
    </row>
    <row r="1473" spans="1:14" x14ac:dyDescent="0.35">
      <c r="A1473" s="57"/>
      <c r="B1473" s="57"/>
      <c r="C1473" s="61"/>
      <c r="D1473" s="61"/>
      <c r="E1473" s="61"/>
      <c r="F1473" s="61"/>
      <c r="G1473" s="57"/>
      <c r="H1473" s="61"/>
      <c r="I1473" s="61"/>
      <c r="J1473" s="61"/>
      <c r="K1473" s="57"/>
      <c r="L1473" s="57"/>
      <c r="M1473" s="57"/>
      <c r="N1473" s="199"/>
    </row>
    <row r="1474" spans="1:14" x14ac:dyDescent="0.35">
      <c r="A1474" s="57"/>
      <c r="B1474" s="57"/>
      <c r="C1474" s="61"/>
      <c r="D1474" s="61"/>
      <c r="E1474" s="61"/>
      <c r="F1474" s="61"/>
      <c r="G1474" s="57"/>
      <c r="H1474" s="61"/>
      <c r="I1474" s="61"/>
      <c r="J1474" s="61"/>
      <c r="K1474" s="57"/>
      <c r="L1474" s="57"/>
      <c r="M1474" s="57"/>
      <c r="N1474" s="199"/>
    </row>
    <row r="1475" spans="1:14" x14ac:dyDescent="0.35">
      <c r="A1475" s="57"/>
      <c r="B1475" s="57"/>
      <c r="C1475" s="61"/>
      <c r="D1475" s="61"/>
      <c r="E1475" s="61"/>
      <c r="F1475" s="61"/>
      <c r="G1475" s="57"/>
      <c r="H1475" s="61"/>
      <c r="I1475" s="61"/>
      <c r="J1475" s="61"/>
      <c r="K1475" s="57"/>
      <c r="L1475" s="57"/>
      <c r="M1475" s="57"/>
      <c r="N1475" s="199"/>
    </row>
    <row r="1476" spans="1:14" x14ac:dyDescent="0.35">
      <c r="A1476" s="57"/>
      <c r="B1476" s="57"/>
      <c r="C1476" s="61"/>
      <c r="D1476" s="61"/>
      <c r="E1476" s="61"/>
      <c r="F1476" s="61"/>
      <c r="G1476" s="57"/>
      <c r="H1476" s="61"/>
      <c r="I1476" s="61"/>
      <c r="J1476" s="61"/>
      <c r="K1476" s="57"/>
      <c r="L1476" s="57"/>
      <c r="M1476" s="57"/>
      <c r="N1476" s="199"/>
    </row>
    <row r="1477" spans="1:14" x14ac:dyDescent="0.35">
      <c r="A1477" s="57"/>
      <c r="B1477" s="57"/>
      <c r="C1477" s="61"/>
      <c r="D1477" s="61"/>
      <c r="E1477" s="61"/>
      <c r="F1477" s="61"/>
      <c r="G1477" s="57"/>
      <c r="H1477" s="61"/>
      <c r="I1477" s="61"/>
      <c r="J1477" s="61"/>
      <c r="K1477" s="57"/>
      <c r="L1477" s="57"/>
      <c r="M1477" s="57"/>
      <c r="N1477" s="199"/>
    </row>
    <row r="1478" spans="1:14" x14ac:dyDescent="0.35">
      <c r="A1478" s="57"/>
      <c r="B1478" s="57"/>
      <c r="C1478" s="61"/>
      <c r="D1478" s="61"/>
      <c r="E1478" s="61"/>
      <c r="F1478" s="61"/>
      <c r="G1478" s="57"/>
      <c r="H1478" s="61"/>
      <c r="I1478" s="61"/>
      <c r="J1478" s="61"/>
      <c r="K1478" s="57"/>
      <c r="L1478" s="57"/>
      <c r="M1478" s="57"/>
      <c r="N1478" s="199"/>
    </row>
    <row r="1479" spans="1:14" x14ac:dyDescent="0.35">
      <c r="A1479" s="57"/>
      <c r="B1479" s="57"/>
      <c r="C1479" s="61"/>
      <c r="D1479" s="61"/>
      <c r="E1479" s="61"/>
      <c r="F1479" s="61"/>
      <c r="G1479" s="57"/>
      <c r="H1479" s="61"/>
      <c r="I1479" s="61"/>
      <c r="J1479" s="61"/>
      <c r="K1479" s="57"/>
      <c r="L1479" s="57"/>
      <c r="M1479" s="57"/>
      <c r="N1479" s="199"/>
    </row>
    <row r="1480" spans="1:14" x14ac:dyDescent="0.35">
      <c r="A1480" s="57"/>
      <c r="B1480" s="57"/>
      <c r="C1480" s="61"/>
      <c r="D1480" s="61"/>
      <c r="E1480" s="61"/>
      <c r="F1480" s="61"/>
      <c r="G1480" s="57"/>
      <c r="H1480" s="61"/>
      <c r="I1480" s="61"/>
      <c r="J1480" s="61"/>
      <c r="K1480" s="57"/>
      <c r="L1480" s="57"/>
      <c r="M1480" s="57"/>
      <c r="N1480" s="199"/>
    </row>
    <row r="1481" spans="1:14" x14ac:dyDescent="0.35">
      <c r="A1481" s="57"/>
      <c r="B1481" s="57"/>
      <c r="C1481" s="61"/>
      <c r="D1481" s="61"/>
      <c r="E1481" s="61"/>
      <c r="F1481" s="61"/>
      <c r="G1481" s="57"/>
      <c r="H1481" s="61"/>
      <c r="I1481" s="61"/>
      <c r="J1481" s="61"/>
      <c r="K1481" s="57"/>
      <c r="L1481" s="57"/>
      <c r="M1481" s="57"/>
      <c r="N1481" s="199"/>
    </row>
    <row r="1482" spans="1:14" x14ac:dyDescent="0.35">
      <c r="A1482" s="57"/>
      <c r="B1482" s="57"/>
      <c r="C1482" s="61"/>
      <c r="D1482" s="61"/>
      <c r="E1482" s="61"/>
      <c r="F1482" s="61"/>
      <c r="G1482" s="57"/>
      <c r="H1482" s="61"/>
      <c r="I1482" s="61"/>
      <c r="J1482" s="61"/>
      <c r="K1482" s="57"/>
      <c r="L1482" s="57"/>
      <c r="M1482" s="57"/>
      <c r="N1482" s="199"/>
    </row>
    <row r="1483" spans="1:14" x14ac:dyDescent="0.35">
      <c r="A1483" s="57"/>
      <c r="B1483" s="57"/>
      <c r="C1483" s="61"/>
      <c r="D1483" s="61"/>
      <c r="E1483" s="61"/>
      <c r="F1483" s="61"/>
      <c r="G1483" s="57"/>
      <c r="H1483" s="61"/>
      <c r="I1483" s="61"/>
      <c r="J1483" s="61"/>
      <c r="K1483" s="57"/>
      <c r="L1483" s="57"/>
      <c r="M1483" s="57"/>
      <c r="N1483" s="199"/>
    </row>
    <row r="1484" spans="1:14" x14ac:dyDescent="0.35">
      <c r="A1484" s="57"/>
      <c r="B1484" s="57"/>
      <c r="C1484" s="61"/>
      <c r="D1484" s="61"/>
      <c r="E1484" s="61"/>
      <c r="F1484" s="61"/>
      <c r="G1484" s="57"/>
      <c r="H1484" s="61"/>
      <c r="I1484" s="61"/>
      <c r="J1484" s="61"/>
      <c r="K1484" s="57"/>
      <c r="L1484" s="57"/>
      <c r="M1484" s="57"/>
      <c r="N1484" s="199"/>
    </row>
    <row r="1485" spans="1:14" x14ac:dyDescent="0.35">
      <c r="A1485" s="57"/>
      <c r="B1485" s="57"/>
      <c r="C1485" s="61"/>
      <c r="D1485" s="61"/>
      <c r="E1485" s="61"/>
      <c r="F1485" s="61"/>
      <c r="G1485" s="57"/>
      <c r="H1485" s="61"/>
      <c r="I1485" s="61"/>
      <c r="J1485" s="61"/>
      <c r="K1485" s="57"/>
      <c r="L1485" s="57"/>
      <c r="M1485" s="57"/>
      <c r="N1485" s="199"/>
    </row>
    <row r="1486" spans="1:14" x14ac:dyDescent="0.35">
      <c r="A1486" s="57"/>
      <c r="B1486" s="57"/>
      <c r="C1486" s="61"/>
      <c r="D1486" s="61"/>
      <c r="E1486" s="61"/>
      <c r="F1486" s="61"/>
      <c r="G1486" s="57"/>
      <c r="H1486" s="61"/>
      <c r="I1486" s="61"/>
      <c r="J1486" s="61"/>
      <c r="K1486" s="57"/>
      <c r="L1486" s="57"/>
      <c r="M1486" s="57"/>
      <c r="N1486" s="199"/>
    </row>
    <row r="1487" spans="1:14" x14ac:dyDescent="0.35">
      <c r="A1487" s="57"/>
      <c r="B1487" s="57"/>
      <c r="C1487" s="61"/>
      <c r="D1487" s="61"/>
      <c r="E1487" s="61"/>
      <c r="F1487" s="61"/>
      <c r="G1487" s="57"/>
      <c r="H1487" s="61"/>
      <c r="I1487" s="61"/>
      <c r="J1487" s="61"/>
      <c r="K1487" s="57"/>
      <c r="L1487" s="57"/>
      <c r="M1487" s="57"/>
      <c r="N1487" s="199"/>
    </row>
    <row r="1488" spans="1:14" x14ac:dyDescent="0.35">
      <c r="A1488" s="57"/>
      <c r="B1488" s="57"/>
      <c r="C1488" s="61"/>
      <c r="D1488" s="61"/>
      <c r="E1488" s="61"/>
      <c r="F1488" s="61"/>
      <c r="G1488" s="57"/>
      <c r="H1488" s="61"/>
      <c r="I1488" s="61"/>
      <c r="J1488" s="61"/>
      <c r="K1488" s="57"/>
      <c r="L1488" s="57"/>
      <c r="M1488" s="57"/>
      <c r="N1488" s="199"/>
    </row>
    <row r="1489" spans="1:14" x14ac:dyDescent="0.35">
      <c r="A1489" s="57"/>
      <c r="B1489" s="57"/>
      <c r="C1489" s="61"/>
      <c r="D1489" s="61"/>
      <c r="E1489" s="61"/>
      <c r="F1489" s="61"/>
      <c r="G1489" s="57"/>
      <c r="H1489" s="61"/>
      <c r="I1489" s="61"/>
      <c r="J1489" s="61"/>
      <c r="K1489" s="57"/>
      <c r="L1489" s="57"/>
      <c r="M1489" s="57"/>
      <c r="N1489" s="199"/>
    </row>
    <row r="1490" spans="1:14" x14ac:dyDescent="0.35">
      <c r="A1490" s="57"/>
      <c r="B1490" s="57"/>
      <c r="C1490" s="61"/>
      <c r="D1490" s="61"/>
      <c r="E1490" s="61"/>
      <c r="F1490" s="61"/>
      <c r="G1490" s="57"/>
      <c r="H1490" s="61"/>
      <c r="I1490" s="61"/>
      <c r="J1490" s="61"/>
      <c r="K1490" s="57"/>
      <c r="L1490" s="57"/>
      <c r="M1490" s="57"/>
      <c r="N1490" s="199"/>
    </row>
    <row r="1491" spans="1:14" x14ac:dyDescent="0.35">
      <c r="A1491" s="57"/>
      <c r="B1491" s="57"/>
      <c r="C1491" s="61"/>
      <c r="D1491" s="61"/>
      <c r="E1491" s="61"/>
      <c r="F1491" s="61"/>
      <c r="G1491" s="57"/>
      <c r="H1491" s="61"/>
      <c r="I1491" s="61"/>
      <c r="J1491" s="61"/>
      <c r="K1491" s="57"/>
      <c r="L1491" s="57"/>
      <c r="M1491" s="57"/>
      <c r="N1491" s="199"/>
    </row>
    <row r="1492" spans="1:14" x14ac:dyDescent="0.35">
      <c r="A1492" s="57"/>
      <c r="B1492" s="57"/>
      <c r="C1492" s="61"/>
      <c r="D1492" s="61"/>
      <c r="E1492" s="61"/>
      <c r="F1492" s="61"/>
      <c r="G1492" s="57"/>
      <c r="H1492" s="61"/>
      <c r="I1492" s="61"/>
      <c r="J1492" s="61"/>
      <c r="K1492" s="57"/>
      <c r="L1492" s="57"/>
      <c r="M1492" s="57"/>
      <c r="N1492" s="199"/>
    </row>
    <row r="1493" spans="1:14" x14ac:dyDescent="0.35">
      <c r="A1493" s="57"/>
      <c r="B1493" s="57"/>
      <c r="C1493" s="61"/>
      <c r="D1493" s="61"/>
      <c r="E1493" s="61"/>
      <c r="F1493" s="61"/>
      <c r="G1493" s="57"/>
      <c r="H1493" s="61"/>
      <c r="I1493" s="61"/>
      <c r="J1493" s="61"/>
      <c r="K1493" s="57"/>
      <c r="L1493" s="57"/>
      <c r="M1493" s="57"/>
      <c r="N1493" s="199"/>
    </row>
    <row r="1494" spans="1:14" x14ac:dyDescent="0.35">
      <c r="A1494" s="57"/>
      <c r="B1494" s="57"/>
      <c r="C1494" s="61"/>
      <c r="D1494" s="61"/>
      <c r="E1494" s="61"/>
      <c r="F1494" s="61"/>
      <c r="G1494" s="57"/>
      <c r="H1494" s="61"/>
      <c r="I1494" s="61"/>
      <c r="J1494" s="61"/>
      <c r="K1494" s="57"/>
      <c r="L1494" s="57"/>
      <c r="M1494" s="57"/>
      <c r="N1494" s="199"/>
    </row>
    <row r="1495" spans="1:14" x14ac:dyDescent="0.35">
      <c r="A1495" s="57"/>
      <c r="B1495" s="57"/>
      <c r="C1495" s="61"/>
      <c r="D1495" s="61"/>
      <c r="E1495" s="61"/>
      <c r="F1495" s="61"/>
      <c r="G1495" s="57"/>
      <c r="H1495" s="61"/>
      <c r="I1495" s="61"/>
      <c r="J1495" s="61"/>
      <c r="K1495" s="57"/>
      <c r="L1495" s="57"/>
      <c r="M1495" s="57"/>
      <c r="N1495" s="199"/>
    </row>
    <row r="1496" spans="1:14" x14ac:dyDescent="0.35">
      <c r="A1496" s="57"/>
      <c r="B1496" s="57"/>
      <c r="C1496" s="61"/>
      <c r="D1496" s="61"/>
      <c r="E1496" s="61"/>
      <c r="F1496" s="61"/>
      <c r="G1496" s="57"/>
      <c r="H1496" s="61"/>
      <c r="I1496" s="61"/>
      <c r="J1496" s="61"/>
      <c r="K1496" s="57"/>
      <c r="L1496" s="57"/>
      <c r="M1496" s="57"/>
      <c r="N1496" s="199"/>
    </row>
    <row r="1497" spans="1:14" x14ac:dyDescent="0.35">
      <c r="A1497" s="57"/>
      <c r="B1497" s="57"/>
      <c r="C1497" s="61"/>
      <c r="D1497" s="61"/>
      <c r="E1497" s="61"/>
      <c r="F1497" s="61"/>
      <c r="G1497" s="57"/>
      <c r="H1497" s="61"/>
      <c r="I1497" s="61"/>
      <c r="J1497" s="61"/>
      <c r="K1497" s="57"/>
      <c r="L1497" s="57"/>
      <c r="M1497" s="57"/>
      <c r="N1497" s="199"/>
    </row>
    <row r="1498" spans="1:14" x14ac:dyDescent="0.35">
      <c r="A1498" s="57"/>
      <c r="B1498" s="57"/>
      <c r="C1498" s="61"/>
      <c r="D1498" s="61"/>
      <c r="E1498" s="61"/>
      <c r="F1498" s="61"/>
      <c r="G1498" s="57"/>
      <c r="H1498" s="61"/>
      <c r="I1498" s="61"/>
      <c r="J1498" s="61"/>
      <c r="K1498" s="57"/>
      <c r="L1498" s="57"/>
      <c r="M1498" s="57"/>
      <c r="N1498" s="199"/>
    </row>
    <row r="1499" spans="1:14" x14ac:dyDescent="0.35">
      <c r="A1499" s="57"/>
      <c r="B1499" s="57"/>
      <c r="C1499" s="61"/>
      <c r="D1499" s="61"/>
      <c r="E1499" s="61"/>
      <c r="F1499" s="61"/>
      <c r="G1499" s="57"/>
      <c r="H1499" s="61"/>
      <c r="I1499" s="61"/>
      <c r="J1499" s="61"/>
      <c r="K1499" s="57"/>
      <c r="L1499" s="57"/>
      <c r="M1499" s="57"/>
      <c r="N1499" s="199"/>
    </row>
    <row r="1500" spans="1:14" x14ac:dyDescent="0.35">
      <c r="A1500" s="57"/>
      <c r="B1500" s="57"/>
      <c r="C1500" s="61"/>
      <c r="D1500" s="61"/>
      <c r="E1500" s="61"/>
      <c r="F1500" s="61"/>
      <c r="G1500" s="57"/>
      <c r="H1500" s="61"/>
      <c r="I1500" s="61"/>
      <c r="J1500" s="61"/>
      <c r="K1500" s="57"/>
      <c r="L1500" s="57"/>
      <c r="M1500" s="57"/>
      <c r="N1500" s="199"/>
    </row>
    <row r="1501" spans="1:14" x14ac:dyDescent="0.35">
      <c r="A1501" s="57"/>
      <c r="B1501" s="57"/>
      <c r="C1501" s="61"/>
      <c r="D1501" s="61"/>
      <c r="E1501" s="61"/>
      <c r="F1501" s="61"/>
      <c r="G1501" s="57"/>
      <c r="H1501" s="61"/>
      <c r="I1501" s="61"/>
      <c r="J1501" s="61"/>
      <c r="K1501" s="57"/>
      <c r="L1501" s="57"/>
      <c r="M1501" s="57"/>
      <c r="N1501" s="199"/>
    </row>
    <row r="1502" spans="1:14" x14ac:dyDescent="0.35">
      <c r="A1502" s="57"/>
      <c r="B1502" s="57"/>
      <c r="C1502" s="61"/>
      <c r="D1502" s="61"/>
      <c r="E1502" s="61"/>
      <c r="F1502" s="61"/>
      <c r="G1502" s="57"/>
      <c r="H1502" s="61"/>
      <c r="I1502" s="61"/>
      <c r="J1502" s="61"/>
      <c r="K1502" s="57"/>
      <c r="L1502" s="57"/>
      <c r="M1502" s="57"/>
      <c r="N1502" s="199"/>
    </row>
    <row r="1503" spans="1:14" x14ac:dyDescent="0.35">
      <c r="A1503" s="57"/>
      <c r="B1503" s="57"/>
      <c r="C1503" s="61"/>
      <c r="D1503" s="61"/>
      <c r="E1503" s="61"/>
      <c r="F1503" s="61"/>
      <c r="G1503" s="57"/>
      <c r="H1503" s="61"/>
      <c r="I1503" s="61"/>
      <c r="J1503" s="61"/>
      <c r="K1503" s="57"/>
      <c r="L1503" s="57"/>
      <c r="M1503" s="57"/>
      <c r="N1503" s="199"/>
    </row>
    <row r="1504" spans="1:14" x14ac:dyDescent="0.35">
      <c r="A1504" s="57"/>
      <c r="B1504" s="57"/>
      <c r="C1504" s="61"/>
      <c r="D1504" s="61"/>
      <c r="E1504" s="61"/>
      <c r="F1504" s="61"/>
      <c r="G1504" s="57"/>
      <c r="H1504" s="61"/>
      <c r="I1504" s="61"/>
      <c r="J1504" s="61"/>
      <c r="K1504" s="57"/>
      <c r="L1504" s="57"/>
      <c r="M1504" s="57"/>
      <c r="N1504" s="199"/>
    </row>
    <row r="1505" spans="1:14" x14ac:dyDescent="0.35">
      <c r="A1505" s="57"/>
      <c r="B1505" s="57"/>
      <c r="C1505" s="61"/>
      <c r="D1505" s="61"/>
      <c r="E1505" s="61"/>
      <c r="F1505" s="61"/>
      <c r="G1505" s="57"/>
      <c r="H1505" s="61"/>
      <c r="I1505" s="61"/>
      <c r="J1505" s="61"/>
      <c r="K1505" s="57"/>
      <c r="L1505" s="57"/>
      <c r="M1505" s="57"/>
      <c r="N1505" s="199"/>
    </row>
    <row r="1506" spans="1:14" x14ac:dyDescent="0.35">
      <c r="A1506" s="57"/>
      <c r="B1506" s="57"/>
      <c r="C1506" s="61"/>
      <c r="D1506" s="61"/>
      <c r="E1506" s="61"/>
      <c r="F1506" s="61"/>
      <c r="G1506" s="57"/>
      <c r="H1506" s="61"/>
      <c r="I1506" s="61"/>
      <c r="J1506" s="61"/>
      <c r="K1506" s="57"/>
      <c r="L1506" s="57"/>
      <c r="M1506" s="57"/>
      <c r="N1506" s="199"/>
    </row>
    <row r="1507" spans="1:14" x14ac:dyDescent="0.35">
      <c r="A1507" s="57"/>
      <c r="B1507" s="57"/>
      <c r="C1507" s="61"/>
      <c r="D1507" s="61"/>
      <c r="E1507" s="61"/>
      <c r="F1507" s="61"/>
      <c r="G1507" s="57"/>
      <c r="H1507" s="61"/>
      <c r="I1507" s="61"/>
      <c r="J1507" s="61"/>
      <c r="K1507" s="57"/>
      <c r="L1507" s="57"/>
      <c r="M1507" s="57"/>
      <c r="N1507" s="199"/>
    </row>
    <row r="1508" spans="1:14" x14ac:dyDescent="0.35">
      <c r="A1508" s="57"/>
      <c r="B1508" s="57"/>
      <c r="C1508" s="61"/>
      <c r="D1508" s="61"/>
      <c r="E1508" s="61"/>
      <c r="F1508" s="61"/>
      <c r="G1508" s="57"/>
      <c r="H1508" s="61"/>
      <c r="I1508" s="61"/>
      <c r="J1508" s="61"/>
      <c r="K1508" s="57"/>
      <c r="L1508" s="57"/>
      <c r="M1508" s="57"/>
      <c r="N1508" s="199"/>
    </row>
    <row r="1509" spans="1:14" x14ac:dyDescent="0.35">
      <c r="A1509" s="57"/>
      <c r="B1509" s="57"/>
      <c r="C1509" s="61"/>
      <c r="D1509" s="61"/>
      <c r="E1509" s="61"/>
      <c r="F1509" s="61"/>
      <c r="G1509" s="57"/>
      <c r="H1509" s="61"/>
      <c r="I1509" s="61"/>
      <c r="J1509" s="61"/>
      <c r="K1509" s="57"/>
      <c r="L1509" s="57"/>
      <c r="M1509" s="57"/>
      <c r="N1509" s="199"/>
    </row>
    <row r="1510" spans="1:14" x14ac:dyDescent="0.35">
      <c r="A1510" s="57"/>
      <c r="B1510" s="57"/>
      <c r="C1510" s="61"/>
      <c r="D1510" s="61"/>
      <c r="E1510" s="61"/>
      <c r="F1510" s="61"/>
      <c r="G1510" s="57"/>
      <c r="H1510" s="61"/>
      <c r="I1510" s="61"/>
      <c r="J1510" s="61"/>
      <c r="K1510" s="57"/>
      <c r="L1510" s="57"/>
      <c r="M1510" s="57"/>
      <c r="N1510" s="199"/>
    </row>
    <row r="1511" spans="1:14" x14ac:dyDescent="0.35">
      <c r="A1511" s="57"/>
      <c r="B1511" s="57"/>
      <c r="C1511" s="61"/>
      <c r="D1511" s="61"/>
      <c r="E1511" s="61"/>
      <c r="F1511" s="61"/>
      <c r="G1511" s="57"/>
      <c r="H1511" s="61"/>
      <c r="I1511" s="61"/>
      <c r="J1511" s="61"/>
      <c r="K1511" s="57"/>
      <c r="L1511" s="57"/>
      <c r="M1511" s="57"/>
      <c r="N1511" s="199"/>
    </row>
    <row r="1512" spans="1:14" x14ac:dyDescent="0.35">
      <c r="A1512" s="57"/>
      <c r="B1512" s="57"/>
      <c r="C1512" s="61"/>
      <c r="D1512" s="61"/>
      <c r="E1512" s="61"/>
      <c r="F1512" s="61"/>
      <c r="G1512" s="57"/>
      <c r="H1512" s="61"/>
      <c r="I1512" s="61"/>
      <c r="J1512" s="61"/>
      <c r="K1512" s="57"/>
      <c r="L1512" s="57"/>
      <c r="M1512" s="57"/>
      <c r="N1512" s="199"/>
    </row>
    <row r="1513" spans="1:14" x14ac:dyDescent="0.35">
      <c r="A1513" s="57"/>
      <c r="B1513" s="57"/>
      <c r="C1513" s="61"/>
      <c r="D1513" s="61"/>
      <c r="E1513" s="61"/>
      <c r="F1513" s="61"/>
      <c r="G1513" s="57"/>
      <c r="H1513" s="61"/>
      <c r="I1513" s="61"/>
      <c r="J1513" s="61"/>
      <c r="K1513" s="57"/>
      <c r="L1513" s="57"/>
      <c r="M1513" s="57"/>
      <c r="N1513" s="199"/>
    </row>
    <row r="1514" spans="1:14" x14ac:dyDescent="0.35">
      <c r="A1514" s="57"/>
      <c r="B1514" s="57"/>
      <c r="C1514" s="61"/>
      <c r="D1514" s="61"/>
      <c r="E1514" s="61"/>
      <c r="F1514" s="61"/>
      <c r="G1514" s="57"/>
      <c r="H1514" s="61"/>
      <c r="I1514" s="61"/>
      <c r="J1514" s="61"/>
      <c r="K1514" s="57"/>
      <c r="L1514" s="57"/>
      <c r="M1514" s="57"/>
      <c r="N1514" s="199"/>
    </row>
    <row r="1515" spans="1:14" x14ac:dyDescent="0.35">
      <c r="A1515" s="57"/>
      <c r="B1515" s="57"/>
      <c r="C1515" s="61"/>
      <c r="D1515" s="61"/>
      <c r="E1515" s="61"/>
      <c r="F1515" s="61"/>
      <c r="G1515" s="57"/>
      <c r="H1515" s="61"/>
      <c r="I1515" s="61"/>
      <c r="J1515" s="61"/>
      <c r="K1515" s="57"/>
      <c r="L1515" s="57"/>
      <c r="M1515" s="57"/>
      <c r="N1515" s="199"/>
    </row>
    <row r="1516" spans="1:14" x14ac:dyDescent="0.35">
      <c r="A1516" s="57"/>
      <c r="B1516" s="57"/>
      <c r="C1516" s="61"/>
      <c r="D1516" s="61"/>
      <c r="E1516" s="61"/>
      <c r="F1516" s="61"/>
      <c r="G1516" s="57"/>
      <c r="H1516" s="61"/>
      <c r="I1516" s="61"/>
      <c r="J1516" s="61"/>
      <c r="K1516" s="57"/>
      <c r="L1516" s="57"/>
      <c r="M1516" s="57"/>
      <c r="N1516" s="199"/>
    </row>
    <row r="1517" spans="1:14" x14ac:dyDescent="0.35">
      <c r="A1517" s="57"/>
      <c r="B1517" s="57"/>
      <c r="C1517" s="61"/>
      <c r="D1517" s="61"/>
      <c r="E1517" s="61"/>
      <c r="F1517" s="61"/>
      <c r="G1517" s="57"/>
      <c r="H1517" s="61"/>
      <c r="I1517" s="61"/>
      <c r="J1517" s="61"/>
      <c r="K1517" s="57"/>
      <c r="L1517" s="57"/>
      <c r="M1517" s="57"/>
      <c r="N1517" s="199"/>
    </row>
    <row r="1518" spans="1:14" x14ac:dyDescent="0.35">
      <c r="A1518" s="57"/>
      <c r="B1518" s="57"/>
      <c r="C1518" s="61"/>
      <c r="D1518" s="61"/>
      <c r="E1518" s="61"/>
      <c r="F1518" s="61"/>
      <c r="G1518" s="57"/>
      <c r="H1518" s="61"/>
      <c r="I1518" s="61"/>
      <c r="J1518" s="61"/>
      <c r="K1518" s="57"/>
      <c r="L1518" s="57"/>
      <c r="M1518" s="57"/>
      <c r="N1518" s="199"/>
    </row>
    <row r="1519" spans="1:14" x14ac:dyDescent="0.35">
      <c r="A1519" s="57"/>
      <c r="B1519" s="57"/>
      <c r="C1519" s="61"/>
      <c r="D1519" s="61"/>
      <c r="E1519" s="61"/>
      <c r="F1519" s="61"/>
      <c r="G1519" s="57"/>
      <c r="H1519" s="61"/>
      <c r="I1519" s="61"/>
      <c r="J1519" s="61"/>
      <c r="K1519" s="57"/>
      <c r="L1519" s="57"/>
      <c r="M1519" s="57"/>
      <c r="N1519" s="199"/>
    </row>
    <row r="1520" spans="1:14" x14ac:dyDescent="0.35">
      <c r="A1520" s="57"/>
      <c r="B1520" s="57"/>
      <c r="C1520" s="61"/>
      <c r="D1520" s="61"/>
      <c r="E1520" s="61"/>
      <c r="F1520" s="61"/>
      <c r="G1520" s="57"/>
      <c r="H1520" s="61"/>
      <c r="I1520" s="61"/>
      <c r="J1520" s="61"/>
      <c r="K1520" s="57"/>
      <c r="L1520" s="57"/>
      <c r="M1520" s="57"/>
      <c r="N1520" s="199"/>
    </row>
    <row r="1521" spans="1:14" x14ac:dyDescent="0.35">
      <c r="A1521" s="57"/>
      <c r="B1521" s="57"/>
      <c r="C1521" s="61"/>
      <c r="D1521" s="61"/>
      <c r="E1521" s="61"/>
      <c r="F1521" s="61"/>
      <c r="G1521" s="57"/>
      <c r="H1521" s="61"/>
      <c r="I1521" s="61"/>
      <c r="J1521" s="61"/>
      <c r="K1521" s="57"/>
      <c r="L1521" s="57"/>
      <c r="M1521" s="57"/>
      <c r="N1521" s="199"/>
    </row>
    <row r="1522" spans="1:14" x14ac:dyDescent="0.35">
      <c r="A1522" s="57"/>
      <c r="B1522" s="57"/>
      <c r="C1522" s="61"/>
      <c r="D1522" s="61"/>
      <c r="E1522" s="61"/>
      <c r="F1522" s="61"/>
      <c r="G1522" s="57"/>
      <c r="H1522" s="61"/>
      <c r="I1522" s="61"/>
      <c r="J1522" s="61"/>
      <c r="K1522" s="57"/>
      <c r="L1522" s="57"/>
      <c r="M1522" s="57"/>
      <c r="N1522" s="199"/>
    </row>
    <row r="1523" spans="1:14" x14ac:dyDescent="0.35">
      <c r="A1523" s="57"/>
      <c r="B1523" s="57"/>
      <c r="C1523" s="61"/>
      <c r="D1523" s="61"/>
      <c r="E1523" s="61"/>
      <c r="F1523" s="61"/>
      <c r="G1523" s="57"/>
      <c r="H1523" s="61"/>
      <c r="I1523" s="61"/>
      <c r="J1523" s="61"/>
      <c r="K1523" s="57"/>
      <c r="L1523" s="57"/>
      <c r="M1523" s="57"/>
      <c r="N1523" s="199"/>
    </row>
    <row r="1524" spans="1:14" x14ac:dyDescent="0.35">
      <c r="A1524" s="57"/>
      <c r="B1524" s="57"/>
      <c r="C1524" s="61"/>
      <c r="D1524" s="61"/>
      <c r="E1524" s="61"/>
      <c r="F1524" s="61"/>
      <c r="G1524" s="57"/>
      <c r="H1524" s="61"/>
      <c r="I1524" s="61"/>
      <c r="J1524" s="61"/>
      <c r="K1524" s="57"/>
      <c r="L1524" s="57"/>
      <c r="M1524" s="57"/>
      <c r="N1524" s="199"/>
    </row>
    <row r="1525" spans="1:14" x14ac:dyDescent="0.35">
      <c r="A1525" s="57"/>
      <c r="B1525" s="57"/>
      <c r="C1525" s="61"/>
      <c r="D1525" s="61"/>
      <c r="E1525" s="61"/>
      <c r="F1525" s="61"/>
      <c r="G1525" s="57"/>
      <c r="H1525" s="61"/>
      <c r="I1525" s="61"/>
      <c r="J1525" s="61"/>
      <c r="K1525" s="57"/>
      <c r="L1525" s="57"/>
      <c r="M1525" s="57"/>
      <c r="N1525" s="199"/>
    </row>
    <row r="1526" spans="1:14" x14ac:dyDescent="0.35">
      <c r="A1526" s="57"/>
      <c r="B1526" s="57"/>
      <c r="C1526" s="61"/>
      <c r="D1526" s="61"/>
      <c r="E1526" s="61"/>
      <c r="F1526" s="61"/>
      <c r="G1526" s="57"/>
      <c r="H1526" s="61"/>
      <c r="I1526" s="61"/>
      <c r="J1526" s="61"/>
      <c r="K1526" s="57"/>
      <c r="L1526" s="57"/>
      <c r="M1526" s="57"/>
      <c r="N1526" s="199"/>
    </row>
    <row r="1527" spans="1:14" x14ac:dyDescent="0.35">
      <c r="A1527" s="57"/>
      <c r="B1527" s="57"/>
      <c r="C1527" s="61"/>
      <c r="D1527" s="61"/>
      <c r="E1527" s="61"/>
      <c r="F1527" s="61"/>
      <c r="G1527" s="57"/>
      <c r="H1527" s="61"/>
      <c r="I1527" s="61"/>
      <c r="J1527" s="61"/>
      <c r="K1527" s="57"/>
      <c r="L1527" s="57"/>
      <c r="M1527" s="57"/>
      <c r="N1527" s="199"/>
    </row>
    <row r="1528" spans="1:14" x14ac:dyDescent="0.35">
      <c r="A1528" s="57"/>
      <c r="B1528" s="57"/>
      <c r="C1528" s="61"/>
      <c r="D1528" s="61"/>
      <c r="E1528" s="61"/>
      <c r="F1528" s="61"/>
      <c r="G1528" s="57"/>
      <c r="H1528" s="61"/>
      <c r="I1528" s="61"/>
      <c r="J1528" s="61"/>
      <c r="K1528" s="57"/>
      <c r="L1528" s="57"/>
      <c r="M1528" s="57"/>
      <c r="N1528" s="199"/>
    </row>
    <row r="1529" spans="1:14" x14ac:dyDescent="0.35">
      <c r="A1529" s="57"/>
      <c r="B1529" s="57"/>
      <c r="C1529" s="61"/>
      <c r="D1529" s="61"/>
      <c r="E1529" s="61"/>
      <c r="F1529" s="61"/>
      <c r="G1529" s="57"/>
      <c r="H1529" s="61"/>
      <c r="I1529" s="61"/>
      <c r="J1529" s="61"/>
      <c r="K1529" s="57"/>
      <c r="L1529" s="57"/>
      <c r="M1529" s="57"/>
      <c r="N1529" s="199"/>
    </row>
    <row r="1530" spans="1:14" x14ac:dyDescent="0.35">
      <c r="A1530" s="57"/>
      <c r="B1530" s="57"/>
      <c r="C1530" s="61"/>
      <c r="D1530" s="61"/>
      <c r="E1530" s="61"/>
      <c r="F1530" s="61"/>
      <c r="G1530" s="57"/>
      <c r="H1530" s="61"/>
      <c r="I1530" s="61"/>
      <c r="J1530" s="61"/>
      <c r="K1530" s="57"/>
      <c r="L1530" s="57"/>
      <c r="M1530" s="57"/>
      <c r="N1530" s="199"/>
    </row>
    <row r="1531" spans="1:14" x14ac:dyDescent="0.35">
      <c r="A1531" s="57"/>
      <c r="B1531" s="57"/>
      <c r="C1531" s="61"/>
      <c r="D1531" s="61"/>
      <c r="E1531" s="61"/>
      <c r="F1531" s="61"/>
      <c r="G1531" s="57"/>
      <c r="H1531" s="61"/>
      <c r="I1531" s="61"/>
      <c r="J1531" s="61"/>
      <c r="K1531" s="57"/>
      <c r="L1531" s="57"/>
      <c r="M1531" s="57"/>
      <c r="N1531" s="199"/>
    </row>
    <row r="1532" spans="1:14" x14ac:dyDescent="0.35">
      <c r="A1532" s="57"/>
      <c r="B1532" s="57"/>
      <c r="C1532" s="61"/>
      <c r="D1532" s="61"/>
      <c r="E1532" s="61"/>
      <c r="F1532" s="61"/>
      <c r="G1532" s="57"/>
      <c r="H1532" s="61"/>
      <c r="I1532" s="61"/>
      <c r="J1532" s="61"/>
      <c r="K1532" s="57"/>
      <c r="L1532" s="57"/>
      <c r="M1532" s="57"/>
      <c r="N1532" s="199"/>
    </row>
    <row r="1533" spans="1:14" x14ac:dyDescent="0.35">
      <c r="A1533" s="57"/>
      <c r="B1533" s="57"/>
      <c r="C1533" s="61"/>
      <c r="D1533" s="61"/>
      <c r="E1533" s="61"/>
      <c r="F1533" s="61"/>
      <c r="G1533" s="57"/>
      <c r="H1533" s="61"/>
      <c r="I1533" s="61"/>
      <c r="J1533" s="61"/>
      <c r="K1533" s="57"/>
      <c r="L1533" s="57"/>
      <c r="M1533" s="57"/>
      <c r="N1533" s="199"/>
    </row>
    <row r="1534" spans="1:14" x14ac:dyDescent="0.35">
      <c r="A1534" s="57"/>
      <c r="B1534" s="57"/>
      <c r="C1534" s="61"/>
      <c r="D1534" s="61"/>
      <c r="E1534" s="61"/>
      <c r="F1534" s="61"/>
      <c r="G1534" s="57"/>
      <c r="H1534" s="61"/>
      <c r="I1534" s="61"/>
      <c r="J1534" s="61"/>
      <c r="K1534" s="57"/>
      <c r="L1534" s="57"/>
      <c r="M1534" s="57"/>
      <c r="N1534" s="199"/>
    </row>
    <row r="1535" spans="1:14" x14ac:dyDescent="0.35">
      <c r="A1535" s="57"/>
      <c r="B1535" s="57"/>
      <c r="C1535" s="61"/>
      <c r="D1535" s="61"/>
      <c r="E1535" s="61"/>
      <c r="F1535" s="61"/>
      <c r="G1535" s="57"/>
      <c r="H1535" s="61"/>
      <c r="I1535" s="61"/>
      <c r="J1535" s="61"/>
      <c r="K1535" s="57"/>
      <c r="L1535" s="57"/>
      <c r="M1535" s="57"/>
      <c r="N1535" s="199"/>
    </row>
    <row r="1536" spans="1:14" x14ac:dyDescent="0.35">
      <c r="A1536" s="57"/>
      <c r="B1536" s="57"/>
      <c r="C1536" s="61"/>
      <c r="D1536" s="61"/>
      <c r="E1536" s="61"/>
      <c r="F1536" s="61"/>
      <c r="G1536" s="57"/>
      <c r="H1536" s="61"/>
      <c r="I1536" s="61"/>
      <c r="J1536" s="61"/>
      <c r="K1536" s="57"/>
      <c r="L1536" s="57"/>
      <c r="M1536" s="57"/>
      <c r="N1536" s="199"/>
    </row>
    <row r="1537" spans="1:14" x14ac:dyDescent="0.35">
      <c r="A1537" s="57"/>
      <c r="B1537" s="57"/>
      <c r="C1537" s="61"/>
      <c r="D1537" s="61"/>
      <c r="E1537" s="61"/>
      <c r="F1537" s="61"/>
      <c r="G1537" s="57"/>
      <c r="H1537" s="61"/>
      <c r="I1537" s="61"/>
      <c r="J1537" s="61"/>
      <c r="K1537" s="57"/>
      <c r="L1537" s="57"/>
      <c r="M1537" s="57"/>
      <c r="N1537" s="199"/>
    </row>
    <row r="1538" spans="1:14" x14ac:dyDescent="0.35">
      <c r="A1538" s="57"/>
      <c r="B1538" s="57"/>
      <c r="C1538" s="61"/>
      <c r="D1538" s="61"/>
      <c r="E1538" s="61"/>
      <c r="F1538" s="61"/>
      <c r="G1538" s="57"/>
      <c r="H1538" s="61"/>
      <c r="I1538" s="61"/>
      <c r="J1538" s="61"/>
      <c r="K1538" s="57"/>
      <c r="L1538" s="57"/>
      <c r="M1538" s="57"/>
      <c r="N1538" s="199"/>
    </row>
    <row r="1539" spans="1:14" x14ac:dyDescent="0.35">
      <c r="A1539" s="57"/>
      <c r="B1539" s="57"/>
      <c r="C1539" s="61"/>
      <c r="D1539" s="61"/>
      <c r="E1539" s="61"/>
      <c r="F1539" s="61"/>
      <c r="G1539" s="57"/>
      <c r="H1539" s="61"/>
      <c r="I1539" s="61"/>
      <c r="J1539" s="61"/>
      <c r="K1539" s="57"/>
      <c r="L1539" s="57"/>
      <c r="M1539" s="57"/>
      <c r="N1539" s="199"/>
    </row>
    <row r="1540" spans="1:14" x14ac:dyDescent="0.35">
      <c r="A1540" s="57"/>
      <c r="B1540" s="57"/>
      <c r="C1540" s="61"/>
      <c r="D1540" s="61"/>
      <c r="E1540" s="61"/>
      <c r="F1540" s="61"/>
      <c r="G1540" s="57"/>
      <c r="H1540" s="61"/>
      <c r="I1540" s="61"/>
      <c r="J1540" s="61"/>
      <c r="K1540" s="57"/>
      <c r="L1540" s="57"/>
      <c r="M1540" s="57"/>
      <c r="N1540" s="199"/>
    </row>
    <row r="1541" spans="1:14" x14ac:dyDescent="0.35">
      <c r="A1541" s="57"/>
      <c r="B1541" s="57"/>
      <c r="C1541" s="61"/>
      <c r="D1541" s="61"/>
      <c r="E1541" s="61"/>
      <c r="F1541" s="61"/>
      <c r="G1541" s="57"/>
      <c r="H1541" s="61"/>
      <c r="I1541" s="61"/>
      <c r="J1541" s="61"/>
      <c r="K1541" s="57"/>
      <c r="L1541" s="57"/>
      <c r="M1541" s="57"/>
      <c r="N1541" s="199"/>
    </row>
    <row r="1542" spans="1:14" x14ac:dyDescent="0.35">
      <c r="A1542" s="57"/>
      <c r="B1542" s="57"/>
      <c r="C1542" s="61"/>
      <c r="D1542" s="61"/>
      <c r="E1542" s="61"/>
      <c r="F1542" s="61"/>
      <c r="G1542" s="57"/>
      <c r="H1542" s="61"/>
      <c r="I1542" s="61"/>
      <c r="J1542" s="61"/>
      <c r="K1542" s="57"/>
      <c r="L1542" s="57"/>
      <c r="M1542" s="57"/>
      <c r="N1542" s="199"/>
    </row>
    <row r="1543" spans="1:14" x14ac:dyDescent="0.35">
      <c r="A1543" s="57"/>
      <c r="B1543" s="57"/>
      <c r="C1543" s="61"/>
      <c r="D1543" s="61"/>
      <c r="E1543" s="61"/>
      <c r="F1543" s="61"/>
      <c r="G1543" s="57"/>
      <c r="H1543" s="61"/>
      <c r="I1543" s="61"/>
      <c r="J1543" s="61"/>
      <c r="K1543" s="57"/>
      <c r="L1543" s="57"/>
      <c r="M1543" s="57"/>
      <c r="N1543" s="199"/>
    </row>
    <row r="1544" spans="1:14" x14ac:dyDescent="0.35">
      <c r="A1544" s="57"/>
      <c r="B1544" s="57"/>
      <c r="C1544" s="61"/>
      <c r="D1544" s="61"/>
      <c r="E1544" s="61"/>
      <c r="F1544" s="61"/>
      <c r="G1544" s="57"/>
      <c r="H1544" s="61"/>
      <c r="I1544" s="61"/>
      <c r="J1544" s="61"/>
      <c r="K1544" s="57"/>
      <c r="L1544" s="57"/>
      <c r="M1544" s="57"/>
      <c r="N1544" s="199"/>
    </row>
    <row r="1545" spans="1:14" x14ac:dyDescent="0.35">
      <c r="A1545" s="57"/>
      <c r="B1545" s="57"/>
      <c r="C1545" s="61"/>
      <c r="D1545" s="61"/>
      <c r="E1545" s="61"/>
      <c r="F1545" s="61"/>
      <c r="G1545" s="57"/>
      <c r="H1545" s="61"/>
      <c r="I1545" s="61"/>
      <c r="J1545" s="61"/>
      <c r="K1545" s="57"/>
      <c r="L1545" s="57"/>
      <c r="M1545" s="57"/>
      <c r="N1545" s="199"/>
    </row>
    <row r="1546" spans="1:14" x14ac:dyDescent="0.35">
      <c r="A1546" s="57"/>
      <c r="B1546" s="57"/>
      <c r="C1546" s="61"/>
      <c r="D1546" s="61"/>
      <c r="E1546" s="61"/>
      <c r="F1546" s="61"/>
      <c r="G1546" s="57"/>
      <c r="H1546" s="61"/>
      <c r="I1546" s="61"/>
      <c r="J1546" s="61"/>
      <c r="K1546" s="57"/>
      <c r="L1546" s="57"/>
      <c r="M1546" s="57"/>
      <c r="N1546" s="199"/>
    </row>
    <row r="1547" spans="1:14" x14ac:dyDescent="0.35">
      <c r="A1547" s="57"/>
      <c r="B1547" s="57"/>
      <c r="C1547" s="61"/>
      <c r="D1547" s="61"/>
      <c r="E1547" s="61"/>
      <c r="F1547" s="61"/>
      <c r="G1547" s="57"/>
      <c r="H1547" s="61"/>
      <c r="I1547" s="61"/>
      <c r="J1547" s="61"/>
      <c r="K1547" s="57"/>
      <c r="L1547" s="57"/>
      <c r="M1547" s="57"/>
      <c r="N1547" s="199"/>
    </row>
    <row r="1548" spans="1:14" x14ac:dyDescent="0.35">
      <c r="A1548" s="57"/>
      <c r="B1548" s="57"/>
      <c r="C1548" s="61"/>
      <c r="D1548" s="61"/>
      <c r="E1548" s="61"/>
      <c r="F1548" s="61"/>
      <c r="G1548" s="57"/>
      <c r="H1548" s="61"/>
      <c r="I1548" s="61"/>
      <c r="J1548" s="61"/>
      <c r="K1548" s="57"/>
      <c r="L1548" s="57"/>
      <c r="M1548" s="57"/>
      <c r="N1548" s="199"/>
    </row>
    <row r="1549" spans="1:14" x14ac:dyDescent="0.35">
      <c r="A1549" s="57"/>
      <c r="B1549" s="57"/>
      <c r="C1549" s="61"/>
      <c r="D1549" s="61"/>
      <c r="E1549" s="61"/>
      <c r="F1549" s="61"/>
      <c r="G1549" s="57"/>
      <c r="H1549" s="61"/>
      <c r="I1549" s="61"/>
      <c r="J1549" s="61"/>
      <c r="K1549" s="57"/>
      <c r="L1549" s="57"/>
      <c r="M1549" s="57"/>
      <c r="N1549" s="199"/>
    </row>
    <row r="1550" spans="1:14" x14ac:dyDescent="0.35">
      <c r="A1550" s="57"/>
      <c r="B1550" s="57"/>
      <c r="C1550" s="61"/>
      <c r="D1550" s="61"/>
      <c r="E1550" s="61"/>
      <c r="F1550" s="61"/>
      <c r="G1550" s="57"/>
      <c r="H1550" s="61"/>
      <c r="I1550" s="61"/>
      <c r="J1550" s="61"/>
      <c r="K1550" s="57"/>
      <c r="L1550" s="57"/>
      <c r="M1550" s="57"/>
      <c r="N1550" s="199"/>
    </row>
    <row r="1551" spans="1:14" x14ac:dyDescent="0.35">
      <c r="A1551" s="57"/>
      <c r="B1551" s="57"/>
      <c r="C1551" s="61"/>
      <c r="D1551" s="61"/>
      <c r="E1551" s="61"/>
      <c r="F1551" s="61"/>
      <c r="G1551" s="57"/>
      <c r="H1551" s="61"/>
      <c r="I1551" s="61"/>
      <c r="J1551" s="61"/>
      <c r="K1551" s="57"/>
      <c r="L1551" s="57"/>
      <c r="M1551" s="57"/>
      <c r="N1551" s="199"/>
    </row>
    <row r="1552" spans="1:14" x14ac:dyDescent="0.35">
      <c r="A1552" s="57"/>
      <c r="B1552" s="57"/>
      <c r="C1552" s="61"/>
      <c r="D1552" s="61"/>
      <c r="E1552" s="61"/>
      <c r="F1552" s="61"/>
      <c r="G1552" s="57"/>
      <c r="H1552" s="61"/>
      <c r="I1552" s="61"/>
      <c r="J1552" s="61"/>
      <c r="K1552" s="57"/>
      <c r="L1552" s="57"/>
      <c r="M1552" s="57"/>
      <c r="N1552" s="199"/>
    </row>
    <row r="1553" spans="1:14" x14ac:dyDescent="0.35">
      <c r="A1553" s="57"/>
      <c r="B1553" s="57"/>
      <c r="C1553" s="61"/>
      <c r="D1553" s="61"/>
      <c r="E1553" s="61"/>
      <c r="F1553" s="61"/>
      <c r="G1553" s="57"/>
      <c r="H1553" s="61"/>
      <c r="I1553" s="61"/>
      <c r="J1553" s="61"/>
      <c r="K1553" s="57"/>
      <c r="L1553" s="57"/>
      <c r="M1553" s="57"/>
      <c r="N1553" s="199"/>
    </row>
    <row r="1554" spans="1:14" x14ac:dyDescent="0.35">
      <c r="A1554" s="57"/>
      <c r="B1554" s="57"/>
      <c r="C1554" s="61"/>
      <c r="D1554" s="61"/>
      <c r="E1554" s="61"/>
      <c r="F1554" s="61"/>
      <c r="G1554" s="57"/>
      <c r="H1554" s="61"/>
      <c r="I1554" s="61"/>
      <c r="J1554" s="61"/>
      <c r="K1554" s="57"/>
      <c r="L1554" s="57"/>
      <c r="M1554" s="57"/>
      <c r="N1554" s="199"/>
    </row>
    <row r="1555" spans="1:14" x14ac:dyDescent="0.35">
      <c r="A1555" s="57"/>
      <c r="B1555" s="57"/>
      <c r="C1555" s="61"/>
      <c r="D1555" s="61"/>
      <c r="E1555" s="61"/>
      <c r="F1555" s="61"/>
      <c r="G1555" s="57"/>
      <c r="H1555" s="61"/>
      <c r="I1555" s="61"/>
      <c r="J1555" s="61"/>
      <c r="K1555" s="57"/>
      <c r="L1555" s="57"/>
      <c r="M1555" s="57"/>
      <c r="N1555" s="199"/>
    </row>
    <row r="1556" spans="1:14" x14ac:dyDescent="0.35">
      <c r="A1556" s="57"/>
      <c r="B1556" s="57"/>
      <c r="C1556" s="61"/>
      <c r="D1556" s="61"/>
      <c r="E1556" s="61"/>
      <c r="F1556" s="61"/>
      <c r="G1556" s="57"/>
      <c r="H1556" s="61"/>
      <c r="I1556" s="61"/>
      <c r="J1556" s="61"/>
      <c r="K1556" s="57"/>
      <c r="L1556" s="57"/>
      <c r="M1556" s="57"/>
      <c r="N1556" s="199"/>
    </row>
    <row r="1557" spans="1:14" x14ac:dyDescent="0.35">
      <c r="A1557" s="57"/>
      <c r="B1557" s="57"/>
      <c r="C1557" s="61"/>
      <c r="D1557" s="61"/>
      <c r="E1557" s="61"/>
      <c r="F1557" s="61"/>
      <c r="G1557" s="57"/>
      <c r="H1557" s="61"/>
      <c r="I1557" s="61"/>
      <c r="J1557" s="61"/>
      <c r="K1557" s="57"/>
      <c r="L1557" s="57"/>
      <c r="M1557" s="57"/>
      <c r="N1557" s="199"/>
    </row>
    <row r="1558" spans="1:14" x14ac:dyDescent="0.35">
      <c r="A1558" s="57"/>
      <c r="B1558" s="57"/>
      <c r="C1558" s="61"/>
      <c r="D1558" s="61"/>
      <c r="E1558" s="61"/>
      <c r="F1558" s="61"/>
      <c r="G1558" s="57"/>
      <c r="H1558" s="61"/>
      <c r="I1558" s="61"/>
      <c r="J1558" s="61"/>
      <c r="K1558" s="57"/>
      <c r="L1558" s="57"/>
      <c r="M1558" s="57"/>
      <c r="N1558" s="199"/>
    </row>
    <row r="1559" spans="1:14" x14ac:dyDescent="0.35">
      <c r="A1559" s="57"/>
      <c r="B1559" s="57"/>
      <c r="C1559" s="61"/>
      <c r="D1559" s="61"/>
      <c r="E1559" s="61"/>
      <c r="F1559" s="61"/>
      <c r="G1559" s="57"/>
      <c r="H1559" s="61"/>
      <c r="I1559" s="61"/>
      <c r="J1559" s="61"/>
      <c r="K1559" s="57"/>
      <c r="L1559" s="57"/>
      <c r="M1559" s="57"/>
      <c r="N1559" s="199"/>
    </row>
    <row r="1560" spans="1:14" x14ac:dyDescent="0.35">
      <c r="A1560" s="57"/>
      <c r="B1560" s="57"/>
      <c r="C1560" s="61"/>
      <c r="D1560" s="61"/>
      <c r="E1560" s="61"/>
      <c r="F1560" s="61"/>
      <c r="G1560" s="57"/>
      <c r="H1560" s="61"/>
      <c r="I1560" s="61"/>
      <c r="J1560" s="61"/>
      <c r="K1560" s="57"/>
      <c r="L1560" s="57"/>
      <c r="M1560" s="57"/>
      <c r="N1560" s="199"/>
    </row>
    <row r="1561" spans="1:14" x14ac:dyDescent="0.35">
      <c r="A1561" s="57"/>
      <c r="B1561" s="57"/>
      <c r="C1561" s="61"/>
      <c r="D1561" s="61"/>
      <c r="E1561" s="61"/>
      <c r="F1561" s="61"/>
      <c r="G1561" s="57"/>
      <c r="H1561" s="61"/>
      <c r="I1561" s="61"/>
      <c r="J1561" s="61"/>
      <c r="K1561" s="57"/>
      <c r="L1561" s="57"/>
      <c r="M1561" s="57"/>
      <c r="N1561" s="199"/>
    </row>
    <row r="1562" spans="1:14" x14ac:dyDescent="0.35">
      <c r="A1562" s="57"/>
      <c r="B1562" s="57"/>
      <c r="C1562" s="61"/>
      <c r="D1562" s="61"/>
      <c r="E1562" s="61"/>
      <c r="F1562" s="61"/>
      <c r="G1562" s="57"/>
      <c r="H1562" s="61"/>
      <c r="I1562" s="61"/>
      <c r="J1562" s="61"/>
      <c r="K1562" s="57"/>
      <c r="L1562" s="57"/>
      <c r="M1562" s="57"/>
      <c r="N1562" s="199"/>
    </row>
    <row r="1563" spans="1:14" x14ac:dyDescent="0.35">
      <c r="A1563" s="57"/>
      <c r="B1563" s="57"/>
      <c r="C1563" s="61"/>
      <c r="D1563" s="61"/>
      <c r="E1563" s="61"/>
      <c r="F1563" s="61"/>
      <c r="G1563" s="57"/>
      <c r="H1563" s="61"/>
      <c r="I1563" s="61"/>
      <c r="J1563" s="61"/>
      <c r="K1563" s="57"/>
      <c r="L1563" s="57"/>
      <c r="M1563" s="57"/>
      <c r="N1563" s="199"/>
    </row>
    <row r="1564" spans="1:14" x14ac:dyDescent="0.35">
      <c r="A1564" s="57"/>
      <c r="B1564" s="57"/>
      <c r="C1564" s="61"/>
      <c r="D1564" s="61"/>
      <c r="E1564" s="61"/>
      <c r="F1564" s="61"/>
      <c r="G1564" s="57"/>
      <c r="H1564" s="61"/>
      <c r="I1564" s="61"/>
      <c r="J1564" s="61"/>
      <c r="K1564" s="57"/>
      <c r="L1564" s="57"/>
      <c r="M1564" s="57"/>
      <c r="N1564" s="199"/>
    </row>
    <row r="1565" spans="1:14" x14ac:dyDescent="0.35">
      <c r="A1565" s="57"/>
      <c r="B1565" s="57"/>
      <c r="C1565" s="61"/>
      <c r="D1565" s="61"/>
      <c r="E1565" s="61"/>
      <c r="F1565" s="61"/>
      <c r="G1565" s="57"/>
      <c r="H1565" s="61"/>
      <c r="I1565" s="61"/>
      <c r="J1565" s="61"/>
      <c r="K1565" s="57"/>
      <c r="L1565" s="57"/>
      <c r="M1565" s="57"/>
      <c r="N1565" s="199"/>
    </row>
    <row r="1566" spans="1:14" x14ac:dyDescent="0.35">
      <c r="A1566" s="57"/>
      <c r="B1566" s="57"/>
      <c r="C1566" s="61"/>
      <c r="D1566" s="61"/>
      <c r="E1566" s="61"/>
      <c r="F1566" s="61"/>
      <c r="G1566" s="57"/>
      <c r="H1566" s="61"/>
      <c r="I1566" s="61"/>
      <c r="J1566" s="61"/>
      <c r="K1566" s="57"/>
      <c r="L1566" s="57"/>
      <c r="M1566" s="57"/>
      <c r="N1566" s="199"/>
    </row>
    <row r="1567" spans="1:14" x14ac:dyDescent="0.35">
      <c r="A1567" s="57"/>
      <c r="B1567" s="57"/>
      <c r="C1567" s="61"/>
      <c r="D1567" s="61"/>
      <c r="E1567" s="61"/>
      <c r="F1567" s="61"/>
      <c r="G1567" s="57"/>
      <c r="H1567" s="61"/>
      <c r="I1567" s="61"/>
      <c r="J1567" s="61"/>
      <c r="K1567" s="57"/>
      <c r="L1567" s="57"/>
      <c r="M1567" s="57"/>
      <c r="N1567" s="199"/>
    </row>
    <row r="1568" spans="1:14" x14ac:dyDescent="0.35">
      <c r="A1568" s="57"/>
      <c r="B1568" s="57"/>
      <c r="C1568" s="61"/>
      <c r="D1568" s="61"/>
      <c r="E1568" s="61"/>
      <c r="F1568" s="61"/>
      <c r="G1568" s="57"/>
      <c r="H1568" s="61"/>
      <c r="I1568" s="61"/>
      <c r="J1568" s="61"/>
      <c r="K1568" s="57"/>
      <c r="L1568" s="57"/>
      <c r="M1568" s="57"/>
      <c r="N1568" s="199"/>
    </row>
    <row r="1569" spans="1:14" x14ac:dyDescent="0.35">
      <c r="A1569" s="57"/>
      <c r="B1569" s="57"/>
      <c r="C1569" s="61"/>
      <c r="D1569" s="61"/>
      <c r="E1569" s="61"/>
      <c r="F1569" s="61"/>
      <c r="G1569" s="57"/>
      <c r="H1569" s="61"/>
      <c r="I1569" s="61"/>
      <c r="J1569" s="61"/>
      <c r="K1569" s="57"/>
      <c r="L1569" s="57"/>
      <c r="M1569" s="57"/>
      <c r="N1569" s="199"/>
    </row>
    <row r="1570" spans="1:14" x14ac:dyDescent="0.35">
      <c r="A1570" s="57"/>
      <c r="B1570" s="57"/>
      <c r="C1570" s="61"/>
      <c r="D1570" s="61"/>
      <c r="E1570" s="61"/>
      <c r="F1570" s="61"/>
      <c r="G1570" s="57"/>
      <c r="H1570" s="61"/>
      <c r="I1570" s="61"/>
      <c r="J1570" s="61"/>
      <c r="K1570" s="57"/>
      <c r="L1570" s="57"/>
      <c r="M1570" s="57"/>
      <c r="N1570" s="199"/>
    </row>
    <row r="1571" spans="1:14" x14ac:dyDescent="0.35">
      <c r="A1571" s="57"/>
      <c r="B1571" s="57"/>
      <c r="C1571" s="61"/>
      <c r="D1571" s="61"/>
      <c r="E1571" s="61"/>
      <c r="F1571" s="61"/>
      <c r="G1571" s="57"/>
      <c r="H1571" s="61"/>
      <c r="I1571" s="61"/>
      <c r="J1571" s="61"/>
      <c r="K1571" s="57"/>
      <c r="L1571" s="57"/>
      <c r="M1571" s="57"/>
      <c r="N1571" s="199"/>
    </row>
    <row r="1572" spans="1:14" x14ac:dyDescent="0.35">
      <c r="A1572" s="57"/>
      <c r="B1572" s="57"/>
      <c r="C1572" s="61"/>
      <c r="D1572" s="61"/>
      <c r="E1572" s="61"/>
      <c r="F1572" s="61"/>
      <c r="G1572" s="57"/>
      <c r="H1572" s="61"/>
      <c r="I1572" s="61"/>
      <c r="J1572" s="61"/>
      <c r="K1572" s="57"/>
      <c r="L1572" s="57"/>
      <c r="M1572" s="57"/>
      <c r="N1572" s="199"/>
    </row>
    <row r="1573" spans="1:14" x14ac:dyDescent="0.35">
      <c r="A1573" s="57"/>
      <c r="B1573" s="57"/>
      <c r="C1573" s="61"/>
      <c r="D1573" s="61"/>
      <c r="E1573" s="61"/>
      <c r="F1573" s="61"/>
      <c r="G1573" s="57"/>
      <c r="H1573" s="61"/>
      <c r="I1573" s="61"/>
      <c r="J1573" s="61"/>
      <c r="K1573" s="57"/>
      <c r="L1573" s="57"/>
      <c r="M1573" s="57"/>
      <c r="N1573" s="199"/>
    </row>
    <row r="1574" spans="1:14" x14ac:dyDescent="0.35">
      <c r="A1574" s="57"/>
      <c r="B1574" s="57"/>
      <c r="C1574" s="61"/>
      <c r="D1574" s="61"/>
      <c r="E1574" s="61"/>
      <c r="F1574" s="61"/>
      <c r="G1574" s="57"/>
      <c r="H1574" s="61"/>
      <c r="I1574" s="61"/>
      <c r="J1574" s="61"/>
      <c r="K1574" s="57"/>
      <c r="L1574" s="57"/>
      <c r="M1574" s="57"/>
      <c r="N1574" s="199"/>
    </row>
    <row r="1575" spans="1:14" x14ac:dyDescent="0.35">
      <c r="A1575" s="57"/>
      <c r="B1575" s="57"/>
      <c r="C1575" s="61"/>
      <c r="D1575" s="61"/>
      <c r="E1575" s="61"/>
      <c r="F1575" s="61"/>
      <c r="G1575" s="57"/>
      <c r="H1575" s="61"/>
      <c r="I1575" s="61"/>
      <c r="J1575" s="61"/>
      <c r="K1575" s="57"/>
      <c r="L1575" s="57"/>
      <c r="M1575" s="57"/>
      <c r="N1575" s="199"/>
    </row>
    <row r="1576" spans="1:14" x14ac:dyDescent="0.35">
      <c r="A1576" s="57"/>
      <c r="B1576" s="57"/>
      <c r="C1576" s="61"/>
      <c r="D1576" s="61"/>
      <c r="E1576" s="61"/>
      <c r="F1576" s="61"/>
      <c r="G1576" s="57"/>
      <c r="H1576" s="61"/>
      <c r="I1576" s="61"/>
      <c r="J1576" s="61"/>
      <c r="K1576" s="57"/>
      <c r="L1576" s="57"/>
      <c r="M1576" s="57"/>
      <c r="N1576" s="199"/>
    </row>
    <row r="1577" spans="1:14" x14ac:dyDescent="0.35">
      <c r="A1577" s="57"/>
      <c r="B1577" s="57"/>
      <c r="C1577" s="61"/>
      <c r="D1577" s="61"/>
      <c r="E1577" s="61"/>
      <c r="F1577" s="61"/>
      <c r="G1577" s="57"/>
      <c r="H1577" s="61"/>
      <c r="I1577" s="61"/>
      <c r="J1577" s="61"/>
      <c r="K1577" s="57"/>
      <c r="L1577" s="57"/>
      <c r="M1577" s="57"/>
      <c r="N1577" s="199"/>
    </row>
    <row r="1578" spans="1:14" x14ac:dyDescent="0.35">
      <c r="A1578" s="57"/>
      <c r="B1578" s="57"/>
      <c r="C1578" s="61"/>
      <c r="D1578" s="61"/>
      <c r="E1578" s="61"/>
      <c r="F1578" s="61"/>
      <c r="G1578" s="57"/>
      <c r="H1578" s="61"/>
      <c r="I1578" s="61"/>
      <c r="J1578" s="61"/>
      <c r="K1578" s="57"/>
      <c r="L1578" s="57"/>
      <c r="M1578" s="57"/>
      <c r="N1578" s="199"/>
    </row>
    <row r="1579" spans="1:14" x14ac:dyDescent="0.35">
      <c r="A1579" s="57"/>
      <c r="B1579" s="57"/>
      <c r="C1579" s="61"/>
      <c r="D1579" s="61"/>
      <c r="E1579" s="61"/>
      <c r="F1579" s="61"/>
      <c r="G1579" s="57"/>
      <c r="H1579" s="61"/>
      <c r="I1579" s="61"/>
      <c r="J1579" s="61"/>
      <c r="K1579" s="57"/>
      <c r="L1579" s="57"/>
      <c r="M1579" s="57"/>
      <c r="N1579" s="199"/>
    </row>
    <row r="1580" spans="1:14" x14ac:dyDescent="0.35">
      <c r="A1580" s="57"/>
      <c r="B1580" s="57"/>
      <c r="C1580" s="61"/>
      <c r="D1580" s="61"/>
      <c r="E1580" s="61"/>
      <c r="F1580" s="61"/>
      <c r="G1580" s="57"/>
      <c r="H1580" s="61"/>
      <c r="I1580" s="61"/>
      <c r="J1580" s="61"/>
      <c r="K1580" s="57"/>
      <c r="L1580" s="57"/>
      <c r="M1580" s="57"/>
      <c r="N1580" s="199"/>
    </row>
    <row r="1581" spans="1:14" x14ac:dyDescent="0.35">
      <c r="A1581" s="57"/>
      <c r="B1581" s="57"/>
      <c r="C1581" s="61"/>
      <c r="D1581" s="61"/>
      <c r="E1581" s="61"/>
      <c r="F1581" s="61"/>
      <c r="G1581" s="57"/>
      <c r="H1581" s="61"/>
      <c r="I1581" s="61"/>
      <c r="J1581" s="61"/>
      <c r="K1581" s="57"/>
      <c r="L1581" s="57"/>
      <c r="M1581" s="57"/>
      <c r="N1581" s="199"/>
    </row>
    <row r="1582" spans="1:14" x14ac:dyDescent="0.35">
      <c r="A1582" s="57"/>
      <c r="B1582" s="57"/>
      <c r="C1582" s="61"/>
      <c r="D1582" s="61"/>
      <c r="E1582" s="61"/>
      <c r="F1582" s="61"/>
      <c r="G1582" s="57"/>
      <c r="H1582" s="61"/>
      <c r="I1582" s="61"/>
      <c r="J1582" s="61"/>
      <c r="K1582" s="57"/>
      <c r="L1582" s="57"/>
      <c r="M1582" s="57"/>
      <c r="N1582" s="199"/>
    </row>
    <row r="1583" spans="1:14" x14ac:dyDescent="0.35">
      <c r="A1583" s="57"/>
      <c r="B1583" s="57"/>
      <c r="C1583" s="61"/>
      <c r="D1583" s="61"/>
      <c r="E1583" s="61"/>
      <c r="F1583" s="61"/>
      <c r="G1583" s="57"/>
      <c r="H1583" s="61"/>
      <c r="I1583" s="61"/>
      <c r="J1583" s="61"/>
      <c r="K1583" s="57"/>
      <c r="L1583" s="57"/>
      <c r="M1583" s="57"/>
      <c r="N1583" s="199"/>
    </row>
    <row r="1584" spans="1:14" x14ac:dyDescent="0.35">
      <c r="A1584" s="57"/>
      <c r="B1584" s="57"/>
      <c r="C1584" s="61"/>
      <c r="D1584" s="61"/>
      <c r="E1584" s="61"/>
      <c r="F1584" s="61"/>
      <c r="G1584" s="57"/>
      <c r="H1584" s="61"/>
      <c r="I1584" s="61"/>
      <c r="J1584" s="61"/>
      <c r="K1584" s="57"/>
      <c r="L1584" s="57"/>
      <c r="M1584" s="57"/>
      <c r="N1584" s="199"/>
    </row>
    <row r="1585" spans="1:14" x14ac:dyDescent="0.35">
      <c r="A1585" s="57"/>
      <c r="B1585" s="57"/>
      <c r="C1585" s="61"/>
      <c r="D1585" s="61"/>
      <c r="E1585" s="61"/>
      <c r="F1585" s="61"/>
      <c r="G1585" s="57"/>
      <c r="H1585" s="61"/>
      <c r="I1585" s="61"/>
      <c r="J1585" s="61"/>
      <c r="K1585" s="57"/>
      <c r="L1585" s="57"/>
      <c r="M1585" s="57"/>
      <c r="N1585" s="199"/>
    </row>
    <row r="1586" spans="1:14" x14ac:dyDescent="0.35">
      <c r="A1586" s="57"/>
      <c r="B1586" s="57"/>
      <c r="C1586" s="61"/>
      <c r="D1586" s="61"/>
      <c r="E1586" s="61"/>
      <c r="F1586" s="61"/>
      <c r="G1586" s="57"/>
      <c r="H1586" s="61"/>
      <c r="I1586" s="61"/>
      <c r="J1586" s="61"/>
      <c r="K1586" s="57"/>
      <c r="L1586" s="57"/>
      <c r="M1586" s="57"/>
      <c r="N1586" s="199"/>
    </row>
    <row r="1587" spans="1:14" x14ac:dyDescent="0.35">
      <c r="A1587" s="57"/>
      <c r="B1587" s="57"/>
      <c r="C1587" s="61"/>
      <c r="D1587" s="61"/>
      <c r="E1587" s="61"/>
      <c r="F1587" s="61"/>
      <c r="G1587" s="57"/>
      <c r="H1587" s="61"/>
      <c r="I1587" s="61"/>
      <c r="J1587" s="61"/>
      <c r="K1587" s="57"/>
      <c r="L1587" s="57"/>
      <c r="M1587" s="57"/>
      <c r="N1587" s="199"/>
    </row>
    <row r="1588" spans="1:14" x14ac:dyDescent="0.35">
      <c r="A1588" s="57"/>
      <c r="B1588" s="57"/>
      <c r="C1588" s="61"/>
      <c r="D1588" s="61"/>
      <c r="E1588" s="61"/>
      <c r="F1588" s="61"/>
      <c r="G1588" s="57"/>
      <c r="H1588" s="61"/>
      <c r="I1588" s="61"/>
      <c r="J1588" s="61"/>
      <c r="K1588" s="57"/>
      <c r="L1588" s="57"/>
      <c r="M1588" s="57"/>
      <c r="N1588" s="199"/>
    </row>
    <row r="1589" spans="1:14" x14ac:dyDescent="0.35">
      <c r="A1589" s="57"/>
      <c r="B1589" s="57"/>
      <c r="C1589" s="61"/>
      <c r="D1589" s="61"/>
      <c r="E1589" s="61"/>
      <c r="F1589" s="61"/>
      <c r="G1589" s="57"/>
      <c r="H1589" s="61"/>
      <c r="I1589" s="61"/>
      <c r="J1589" s="61"/>
      <c r="K1589" s="57"/>
      <c r="L1589" s="57"/>
      <c r="M1589" s="57"/>
      <c r="N1589" s="199"/>
    </row>
    <row r="1590" spans="1:14" x14ac:dyDescent="0.35">
      <c r="A1590" s="57"/>
      <c r="B1590" s="57"/>
      <c r="C1590" s="61"/>
      <c r="D1590" s="61"/>
      <c r="E1590" s="61"/>
      <c r="F1590" s="61"/>
      <c r="G1590" s="57"/>
      <c r="H1590" s="61"/>
      <c r="I1590" s="61"/>
      <c r="J1590" s="61"/>
      <c r="K1590" s="57"/>
      <c r="L1590" s="57"/>
      <c r="M1590" s="57"/>
      <c r="N1590" s="199"/>
    </row>
    <row r="1591" spans="1:14" x14ac:dyDescent="0.35">
      <c r="A1591" s="57"/>
      <c r="B1591" s="57"/>
      <c r="C1591" s="61"/>
      <c r="D1591" s="61"/>
      <c r="E1591" s="61"/>
      <c r="F1591" s="61"/>
      <c r="G1591" s="57"/>
      <c r="H1591" s="61"/>
      <c r="I1591" s="61"/>
      <c r="J1591" s="61"/>
      <c r="K1591" s="57"/>
      <c r="L1591" s="57"/>
      <c r="M1591" s="57"/>
      <c r="N1591" s="199"/>
    </row>
    <row r="1592" spans="1:14" x14ac:dyDescent="0.35">
      <c r="A1592" s="57"/>
      <c r="B1592" s="57"/>
      <c r="C1592" s="61"/>
      <c r="D1592" s="61"/>
      <c r="E1592" s="61"/>
      <c r="F1592" s="61"/>
      <c r="G1592" s="57"/>
      <c r="H1592" s="61"/>
      <c r="I1592" s="61"/>
      <c r="J1592" s="61"/>
      <c r="K1592" s="57"/>
      <c r="L1592" s="57"/>
      <c r="M1592" s="57"/>
      <c r="N1592" s="199"/>
    </row>
    <row r="1593" spans="1:14" x14ac:dyDescent="0.35">
      <c r="A1593" s="57"/>
      <c r="B1593" s="57"/>
      <c r="C1593" s="61"/>
      <c r="D1593" s="61"/>
      <c r="E1593" s="61"/>
      <c r="F1593" s="61"/>
      <c r="G1593" s="57"/>
      <c r="H1593" s="61"/>
      <c r="I1593" s="61"/>
      <c r="J1593" s="61"/>
      <c r="K1593" s="57"/>
      <c r="L1593" s="57"/>
      <c r="M1593" s="57"/>
      <c r="N1593" s="199"/>
    </row>
    <row r="1594" spans="1:14" x14ac:dyDescent="0.35">
      <c r="A1594" s="57"/>
      <c r="B1594" s="57"/>
      <c r="C1594" s="61"/>
      <c r="D1594" s="61"/>
      <c r="E1594" s="61"/>
      <c r="F1594" s="61"/>
      <c r="G1594" s="57"/>
      <c r="H1594" s="61"/>
      <c r="I1594" s="61"/>
      <c r="J1594" s="61"/>
      <c r="K1594" s="57"/>
      <c r="L1594" s="57"/>
      <c r="M1594" s="57"/>
      <c r="N1594" s="199"/>
    </row>
    <row r="1595" spans="1:14" x14ac:dyDescent="0.35">
      <c r="A1595" s="57"/>
      <c r="B1595" s="57"/>
      <c r="C1595" s="61"/>
      <c r="D1595" s="61"/>
      <c r="E1595" s="61"/>
      <c r="F1595" s="61"/>
      <c r="G1595" s="57"/>
      <c r="H1595" s="61"/>
      <c r="I1595" s="61"/>
      <c r="J1595" s="61"/>
      <c r="K1595" s="57"/>
      <c r="L1595" s="57"/>
      <c r="M1595" s="57"/>
      <c r="N1595" s="199"/>
    </row>
    <row r="1596" spans="1:14" x14ac:dyDescent="0.35">
      <c r="A1596" s="57"/>
      <c r="B1596" s="57"/>
      <c r="C1596" s="61"/>
      <c r="D1596" s="61"/>
      <c r="E1596" s="61"/>
      <c r="F1596" s="61"/>
      <c r="G1596" s="57"/>
      <c r="H1596" s="61"/>
      <c r="I1596" s="61"/>
      <c r="J1596" s="61"/>
      <c r="K1596" s="57"/>
      <c r="L1596" s="57"/>
      <c r="M1596" s="57"/>
      <c r="N1596" s="199"/>
    </row>
    <row r="1597" spans="1:14" x14ac:dyDescent="0.35">
      <c r="A1597" s="57"/>
      <c r="B1597" s="57"/>
      <c r="C1597" s="61"/>
      <c r="D1597" s="61"/>
      <c r="E1597" s="61"/>
      <c r="F1597" s="61"/>
      <c r="G1597" s="57"/>
      <c r="H1597" s="61"/>
      <c r="I1597" s="61"/>
      <c r="J1597" s="61"/>
      <c r="K1597" s="57"/>
      <c r="L1597" s="57"/>
      <c r="M1597" s="57"/>
      <c r="N1597" s="199"/>
    </row>
    <row r="1598" spans="1:14" x14ac:dyDescent="0.35">
      <c r="A1598" s="57"/>
      <c r="B1598" s="57"/>
      <c r="C1598" s="61"/>
      <c r="D1598" s="61"/>
      <c r="E1598" s="61"/>
      <c r="F1598" s="61"/>
      <c r="G1598" s="57"/>
      <c r="H1598" s="61"/>
      <c r="I1598" s="61"/>
      <c r="J1598" s="61"/>
      <c r="K1598" s="57"/>
      <c r="L1598" s="57"/>
      <c r="M1598" s="57"/>
      <c r="N1598" s="199"/>
    </row>
    <row r="1599" spans="1:14" x14ac:dyDescent="0.35">
      <c r="A1599" s="57"/>
      <c r="B1599" s="57"/>
      <c r="C1599" s="61"/>
      <c r="D1599" s="61"/>
      <c r="E1599" s="61"/>
      <c r="F1599" s="61"/>
      <c r="G1599" s="57"/>
      <c r="H1599" s="61"/>
      <c r="I1599" s="61"/>
      <c r="J1599" s="61"/>
      <c r="K1599" s="57"/>
      <c r="L1599" s="57"/>
      <c r="M1599" s="57"/>
      <c r="N1599" s="199"/>
    </row>
    <row r="1600" spans="1:14" x14ac:dyDescent="0.35">
      <c r="A1600" s="57"/>
      <c r="B1600" s="57"/>
      <c r="C1600" s="61"/>
      <c r="D1600" s="61"/>
      <c r="E1600" s="61"/>
      <c r="F1600" s="61"/>
      <c r="G1600" s="57"/>
      <c r="H1600" s="61"/>
      <c r="I1600" s="61"/>
      <c r="J1600" s="61"/>
      <c r="K1600" s="57"/>
      <c r="L1600" s="57"/>
      <c r="M1600" s="57"/>
      <c r="N1600" s="199"/>
    </row>
    <row r="1601" spans="1:14" x14ac:dyDescent="0.35">
      <c r="A1601" s="57"/>
      <c r="B1601" s="57"/>
      <c r="C1601" s="61"/>
      <c r="D1601" s="61"/>
      <c r="E1601" s="61"/>
      <c r="F1601" s="61"/>
      <c r="G1601" s="57"/>
      <c r="H1601" s="61"/>
      <c r="I1601" s="61"/>
      <c r="J1601" s="61"/>
      <c r="K1601" s="57"/>
      <c r="L1601" s="57"/>
      <c r="M1601" s="57"/>
      <c r="N1601" s="199"/>
    </row>
    <row r="1602" spans="1:14" x14ac:dyDescent="0.35">
      <c r="A1602" s="57"/>
      <c r="B1602" s="57"/>
      <c r="C1602" s="61"/>
      <c r="D1602" s="61"/>
      <c r="E1602" s="61"/>
      <c r="F1602" s="61"/>
      <c r="G1602" s="57"/>
      <c r="H1602" s="61"/>
      <c r="I1602" s="61"/>
      <c r="J1602" s="61"/>
      <c r="K1602" s="57"/>
      <c r="L1602" s="57"/>
      <c r="M1602" s="57"/>
      <c r="N1602" s="199"/>
    </row>
    <row r="1603" spans="1:14" x14ac:dyDescent="0.35">
      <c r="A1603" s="57"/>
      <c r="B1603" s="57"/>
      <c r="C1603" s="61"/>
      <c r="D1603" s="61"/>
      <c r="E1603" s="61"/>
      <c r="F1603" s="61"/>
      <c r="G1603" s="57"/>
      <c r="H1603" s="61"/>
      <c r="I1603" s="61"/>
      <c r="J1603" s="61"/>
      <c r="K1603" s="57"/>
      <c r="L1603" s="57"/>
      <c r="M1603" s="57"/>
      <c r="N1603" s="199"/>
    </row>
    <row r="1604" spans="1:14" x14ac:dyDescent="0.35">
      <c r="A1604" s="57"/>
      <c r="B1604" s="57"/>
      <c r="C1604" s="61"/>
      <c r="D1604" s="61"/>
      <c r="E1604" s="61"/>
      <c r="F1604" s="61"/>
      <c r="G1604" s="57"/>
      <c r="H1604" s="61"/>
      <c r="I1604" s="61"/>
      <c r="J1604" s="61"/>
      <c r="K1604" s="57"/>
      <c r="L1604" s="57"/>
      <c r="M1604" s="57"/>
      <c r="N1604" s="199"/>
    </row>
    <row r="1605" spans="1:14" x14ac:dyDescent="0.35">
      <c r="A1605" s="57"/>
      <c r="B1605" s="57"/>
      <c r="C1605" s="61"/>
      <c r="D1605" s="61"/>
      <c r="E1605" s="61"/>
      <c r="F1605" s="61"/>
      <c r="G1605" s="57"/>
      <c r="H1605" s="61"/>
      <c r="I1605" s="61"/>
      <c r="J1605" s="61"/>
      <c r="K1605" s="57"/>
      <c r="L1605" s="57"/>
      <c r="M1605" s="57"/>
      <c r="N1605" s="199"/>
    </row>
    <row r="1606" spans="1:14" x14ac:dyDescent="0.35">
      <c r="A1606" s="57"/>
      <c r="B1606" s="57"/>
      <c r="C1606" s="61"/>
      <c r="D1606" s="61"/>
      <c r="E1606" s="61"/>
      <c r="F1606" s="61"/>
      <c r="G1606" s="57"/>
      <c r="H1606" s="61"/>
      <c r="I1606" s="61"/>
      <c r="J1606" s="61"/>
      <c r="K1606" s="57"/>
      <c r="L1606" s="57"/>
      <c r="M1606" s="57"/>
      <c r="N1606" s="199"/>
    </row>
    <row r="1607" spans="1:14" x14ac:dyDescent="0.35">
      <c r="A1607" s="57"/>
      <c r="B1607" s="57"/>
      <c r="C1607" s="61"/>
      <c r="D1607" s="61"/>
      <c r="E1607" s="61"/>
      <c r="F1607" s="61"/>
      <c r="G1607" s="57"/>
      <c r="H1607" s="61"/>
      <c r="I1607" s="61"/>
      <c r="J1607" s="61"/>
      <c r="K1607" s="57"/>
      <c r="L1607" s="57"/>
      <c r="M1607" s="57"/>
      <c r="N1607" s="199"/>
    </row>
    <row r="1608" spans="1:14" x14ac:dyDescent="0.35">
      <c r="A1608" s="57"/>
      <c r="B1608" s="57"/>
      <c r="C1608" s="61"/>
      <c r="D1608" s="61"/>
      <c r="E1608" s="61"/>
      <c r="F1608" s="61"/>
      <c r="G1608" s="57"/>
      <c r="H1608" s="61"/>
      <c r="I1608" s="61"/>
      <c r="J1608" s="61"/>
      <c r="K1608" s="57"/>
      <c r="L1608" s="57"/>
      <c r="M1608" s="57"/>
      <c r="N1608" s="199"/>
    </row>
    <row r="1609" spans="1:14" x14ac:dyDescent="0.35">
      <c r="A1609" s="57"/>
      <c r="B1609" s="57"/>
      <c r="C1609" s="61"/>
      <c r="D1609" s="61"/>
      <c r="E1609" s="61"/>
      <c r="F1609" s="61"/>
      <c r="G1609" s="57"/>
      <c r="H1609" s="61"/>
      <c r="I1609" s="61"/>
      <c r="J1609" s="61"/>
      <c r="K1609" s="57"/>
      <c r="L1609" s="57"/>
      <c r="M1609" s="57"/>
      <c r="N1609" s="199"/>
    </row>
    <row r="1610" spans="1:14" x14ac:dyDescent="0.35">
      <c r="A1610" s="57"/>
      <c r="B1610" s="57"/>
      <c r="C1610" s="61"/>
      <c r="D1610" s="61"/>
      <c r="E1610" s="61"/>
      <c r="F1610" s="61"/>
      <c r="G1610" s="57"/>
      <c r="H1610" s="61"/>
      <c r="I1610" s="61"/>
      <c r="J1610" s="61"/>
      <c r="K1610" s="57"/>
      <c r="L1610" s="57"/>
      <c r="M1610" s="57"/>
      <c r="N1610" s="199"/>
    </row>
    <row r="1611" spans="1:14" x14ac:dyDescent="0.35">
      <c r="A1611" s="57"/>
      <c r="B1611" s="57"/>
      <c r="C1611" s="61"/>
      <c r="D1611" s="61"/>
      <c r="E1611" s="61"/>
      <c r="F1611" s="61"/>
      <c r="G1611" s="57"/>
      <c r="H1611" s="61"/>
      <c r="I1611" s="61"/>
      <c r="J1611" s="61"/>
      <c r="K1611" s="57"/>
      <c r="L1611" s="57"/>
      <c r="M1611" s="57"/>
      <c r="N1611" s="199"/>
    </row>
    <row r="1612" spans="1:14" x14ac:dyDescent="0.35">
      <c r="A1612" s="57"/>
      <c r="B1612" s="57"/>
      <c r="C1612" s="61"/>
      <c r="D1612" s="61"/>
      <c r="E1612" s="61"/>
      <c r="F1612" s="61"/>
      <c r="G1612" s="57"/>
      <c r="H1612" s="61"/>
      <c r="I1612" s="61"/>
      <c r="J1612" s="61"/>
      <c r="K1612" s="57"/>
      <c r="L1612" s="57"/>
      <c r="M1612" s="57"/>
      <c r="N1612" s="199"/>
    </row>
    <row r="1613" spans="1:14" x14ac:dyDescent="0.35">
      <c r="A1613" s="57"/>
      <c r="B1613" s="57"/>
      <c r="C1613" s="61"/>
      <c r="D1613" s="61"/>
      <c r="E1613" s="61"/>
      <c r="F1613" s="61"/>
      <c r="G1613" s="57"/>
      <c r="H1613" s="61"/>
      <c r="I1613" s="61"/>
      <c r="J1613" s="61"/>
      <c r="K1613" s="57"/>
      <c r="L1613" s="57"/>
      <c r="M1613" s="57"/>
      <c r="N1613" s="199"/>
    </row>
    <row r="1614" spans="1:14" x14ac:dyDescent="0.35">
      <c r="A1614" s="57"/>
      <c r="B1614" s="57"/>
      <c r="C1614" s="61"/>
      <c r="D1614" s="61"/>
      <c r="E1614" s="61"/>
      <c r="F1614" s="61"/>
      <c r="G1614" s="57"/>
      <c r="H1614" s="61"/>
      <c r="I1614" s="61"/>
      <c r="J1614" s="61"/>
      <c r="K1614" s="57"/>
      <c r="L1614" s="57"/>
      <c r="M1614" s="57"/>
      <c r="N1614" s="199"/>
    </row>
    <row r="1615" spans="1:14" x14ac:dyDescent="0.35">
      <c r="A1615" s="57"/>
      <c r="B1615" s="57"/>
      <c r="C1615" s="61"/>
      <c r="D1615" s="61"/>
      <c r="E1615" s="61"/>
      <c r="F1615" s="61"/>
      <c r="G1615" s="57"/>
      <c r="H1615" s="61"/>
      <c r="I1615" s="61"/>
      <c r="J1615" s="61"/>
      <c r="K1615" s="57"/>
      <c r="L1615" s="57"/>
      <c r="M1615" s="57"/>
      <c r="N1615" s="199"/>
    </row>
    <row r="1616" spans="1:14" x14ac:dyDescent="0.35">
      <c r="A1616" s="57"/>
      <c r="B1616" s="57"/>
      <c r="C1616" s="61"/>
      <c r="D1616" s="61"/>
      <c r="E1616" s="61"/>
      <c r="F1616" s="61"/>
      <c r="G1616" s="57"/>
      <c r="H1616" s="61"/>
      <c r="I1616" s="61"/>
      <c r="J1616" s="61"/>
      <c r="K1616" s="57"/>
      <c r="L1616" s="57"/>
      <c r="M1616" s="57"/>
      <c r="N1616" s="199"/>
    </row>
    <row r="1617" spans="1:14" x14ac:dyDescent="0.35">
      <c r="A1617" s="57"/>
      <c r="B1617" s="57"/>
      <c r="C1617" s="61"/>
      <c r="D1617" s="61"/>
      <c r="E1617" s="61"/>
      <c r="F1617" s="61"/>
      <c r="G1617" s="57"/>
      <c r="H1617" s="61"/>
      <c r="I1617" s="61"/>
      <c r="J1617" s="61"/>
      <c r="K1617" s="57"/>
      <c r="L1617" s="57"/>
      <c r="M1617" s="57"/>
      <c r="N1617" s="199"/>
    </row>
    <row r="1618" spans="1:14" x14ac:dyDescent="0.35">
      <c r="A1618" s="57"/>
      <c r="B1618" s="57"/>
      <c r="C1618" s="61"/>
      <c r="D1618" s="61"/>
      <c r="E1618" s="61"/>
      <c r="F1618" s="61"/>
      <c r="G1618" s="57"/>
      <c r="H1618" s="61"/>
      <c r="I1618" s="61"/>
      <c r="J1618" s="61"/>
      <c r="K1618" s="57"/>
      <c r="L1618" s="57"/>
      <c r="M1618" s="57"/>
      <c r="N1618" s="199"/>
    </row>
    <row r="1619" spans="1:14" x14ac:dyDescent="0.35">
      <c r="A1619" s="57"/>
      <c r="B1619" s="57"/>
      <c r="C1619" s="61"/>
      <c r="D1619" s="61"/>
      <c r="E1619" s="61"/>
      <c r="F1619" s="61"/>
      <c r="G1619" s="57"/>
      <c r="H1619" s="61"/>
      <c r="I1619" s="61"/>
      <c r="J1619" s="61"/>
      <c r="K1619" s="57"/>
      <c r="L1619" s="57"/>
      <c r="M1619" s="57"/>
      <c r="N1619" s="199"/>
    </row>
    <row r="1620" spans="1:14" x14ac:dyDescent="0.35">
      <c r="A1620" s="57"/>
      <c r="B1620" s="57"/>
      <c r="C1620" s="61"/>
      <c r="D1620" s="61"/>
      <c r="E1620" s="61"/>
      <c r="F1620" s="61"/>
      <c r="G1620" s="57"/>
      <c r="H1620" s="61"/>
      <c r="I1620" s="61"/>
      <c r="J1620" s="61"/>
      <c r="K1620" s="57"/>
      <c r="L1620" s="57"/>
      <c r="M1620" s="57"/>
      <c r="N1620" s="199"/>
    </row>
    <row r="1621" spans="1:14" x14ac:dyDescent="0.35">
      <c r="A1621" s="57"/>
      <c r="B1621" s="57"/>
      <c r="C1621" s="61"/>
      <c r="D1621" s="61"/>
      <c r="E1621" s="61"/>
      <c r="F1621" s="61"/>
      <c r="G1621" s="57"/>
      <c r="H1621" s="61"/>
      <c r="I1621" s="61"/>
      <c r="J1621" s="61"/>
      <c r="K1621" s="57"/>
      <c r="L1621" s="57"/>
      <c r="M1621" s="57"/>
      <c r="N1621" s="199"/>
    </row>
    <row r="1622" spans="1:14" x14ac:dyDescent="0.35">
      <c r="A1622" s="57"/>
      <c r="B1622" s="57"/>
      <c r="C1622" s="61"/>
      <c r="D1622" s="61"/>
      <c r="E1622" s="61"/>
      <c r="F1622" s="61"/>
      <c r="G1622" s="57"/>
      <c r="H1622" s="61"/>
      <c r="I1622" s="61"/>
      <c r="J1622" s="61"/>
      <c r="K1622" s="57"/>
      <c r="L1622" s="57"/>
      <c r="M1622" s="57"/>
      <c r="N1622" s="199"/>
    </row>
    <row r="1623" spans="1:14" x14ac:dyDescent="0.35">
      <c r="A1623" s="57" t="s">
        <v>65</v>
      </c>
      <c r="B1623" s="57"/>
      <c r="C1623" s="61"/>
      <c r="D1623" s="61"/>
      <c r="E1623" s="61"/>
      <c r="F1623" s="61"/>
      <c r="G1623" s="57"/>
      <c r="H1623" s="61"/>
      <c r="I1623" s="61"/>
      <c r="J1623" s="61"/>
      <c r="K1623" s="57"/>
      <c r="L1623" s="57"/>
      <c r="M1623" s="57"/>
      <c r="N1623" s="199"/>
    </row>
    <row r="1624" spans="1:14" x14ac:dyDescent="0.35">
      <c r="A1624" s="57" t="s">
        <v>65</v>
      </c>
      <c r="B1624" s="57"/>
      <c r="C1624" s="61"/>
      <c r="D1624" s="61"/>
      <c r="E1624" s="61"/>
      <c r="F1624" s="61"/>
      <c r="G1624" s="57"/>
      <c r="H1624" s="61"/>
      <c r="I1624" s="61"/>
      <c r="J1624" s="61"/>
      <c r="K1624" s="57"/>
      <c r="L1624" s="57"/>
      <c r="M1624" s="57"/>
      <c r="N1624" s="199"/>
    </row>
    <row r="1625" spans="1:14" x14ac:dyDescent="0.35">
      <c r="A1625" s="57" t="s">
        <v>65</v>
      </c>
      <c r="B1625" s="57"/>
      <c r="C1625" s="61"/>
      <c r="D1625" s="61"/>
      <c r="E1625" s="61"/>
      <c r="F1625" s="61"/>
      <c r="G1625" s="57"/>
      <c r="H1625" s="61"/>
      <c r="I1625" s="61"/>
      <c r="J1625" s="61"/>
      <c r="K1625" s="57"/>
      <c r="L1625" s="57"/>
      <c r="M1625" s="57"/>
      <c r="N1625" s="199"/>
    </row>
    <row r="1626" spans="1:14" x14ac:dyDescent="0.35">
      <c r="A1626" s="57" t="s">
        <v>65</v>
      </c>
      <c r="B1626" s="57"/>
      <c r="C1626" s="61"/>
      <c r="D1626" s="61"/>
      <c r="E1626" s="61"/>
      <c r="F1626" s="61"/>
      <c r="G1626" s="57"/>
      <c r="H1626" s="61"/>
      <c r="I1626" s="61"/>
      <c r="J1626" s="61"/>
      <c r="K1626" s="57"/>
      <c r="L1626" s="57"/>
      <c r="M1626" s="57"/>
      <c r="N1626" s="199"/>
    </row>
    <row r="1627" spans="1:14" x14ac:dyDescent="0.35">
      <c r="A1627" s="57" t="s">
        <v>65</v>
      </c>
      <c r="B1627" s="57"/>
      <c r="C1627" s="61"/>
      <c r="D1627" s="61"/>
      <c r="E1627" s="61"/>
      <c r="F1627" s="61"/>
      <c r="G1627" s="57"/>
      <c r="H1627" s="61"/>
      <c r="I1627" s="61"/>
      <c r="J1627" s="61"/>
      <c r="K1627" s="57"/>
      <c r="L1627" s="57"/>
      <c r="M1627" s="57"/>
      <c r="N1627" s="199"/>
    </row>
    <row r="1628" spans="1:14" x14ac:dyDescent="0.35">
      <c r="A1628" s="57" t="s">
        <v>65</v>
      </c>
      <c r="B1628" s="57"/>
      <c r="C1628" s="61"/>
      <c r="D1628" s="61"/>
      <c r="E1628" s="61"/>
      <c r="F1628" s="61"/>
      <c r="G1628" s="57"/>
      <c r="H1628" s="61"/>
      <c r="I1628" s="61"/>
      <c r="J1628" s="61"/>
      <c r="K1628" s="57"/>
      <c r="L1628" s="57"/>
      <c r="M1628" s="57"/>
      <c r="N1628" s="199"/>
    </row>
    <row r="1629" spans="1:14" x14ac:dyDescent="0.35">
      <c r="A1629" s="57" t="s">
        <v>65</v>
      </c>
      <c r="B1629" s="57"/>
      <c r="C1629" s="61"/>
      <c r="D1629" s="61"/>
      <c r="E1629" s="61"/>
      <c r="F1629" s="61"/>
      <c r="G1629" s="57"/>
      <c r="H1629" s="61"/>
      <c r="I1629" s="61"/>
      <c r="J1629" s="61"/>
      <c r="K1629" s="57"/>
      <c r="L1629" s="57"/>
      <c r="M1629" s="57"/>
      <c r="N1629" s="199"/>
    </row>
    <row r="1630" spans="1:14" x14ac:dyDescent="0.35">
      <c r="A1630" s="57" t="s">
        <v>65</v>
      </c>
      <c r="B1630" s="57"/>
      <c r="C1630" s="61"/>
      <c r="D1630" s="61"/>
      <c r="E1630" s="61"/>
      <c r="F1630" s="61"/>
      <c r="G1630" s="57"/>
      <c r="H1630" s="61"/>
      <c r="I1630" s="61"/>
      <c r="J1630" s="61"/>
      <c r="K1630" s="57"/>
      <c r="L1630" s="57"/>
      <c r="M1630" s="57"/>
      <c r="N1630" s="199"/>
    </row>
    <row r="1631" spans="1:14" x14ac:dyDescent="0.35">
      <c r="A1631" s="57" t="s">
        <v>65</v>
      </c>
      <c r="B1631" s="57"/>
      <c r="C1631" s="61"/>
      <c r="D1631" s="61"/>
      <c r="E1631" s="61"/>
      <c r="F1631" s="61"/>
      <c r="G1631" s="57"/>
      <c r="H1631" s="61"/>
      <c r="I1631" s="61"/>
      <c r="J1631" s="61"/>
      <c r="K1631" s="57"/>
      <c r="L1631" s="57"/>
      <c r="M1631" s="57"/>
      <c r="N1631" s="199"/>
    </row>
    <row r="1632" spans="1:14" x14ac:dyDescent="0.35">
      <c r="A1632" s="57" t="s">
        <v>65</v>
      </c>
      <c r="B1632" s="57"/>
      <c r="C1632" s="61"/>
      <c r="D1632" s="61"/>
      <c r="E1632" s="61"/>
      <c r="F1632" s="61"/>
      <c r="G1632" s="57"/>
      <c r="H1632" s="61"/>
      <c r="I1632" s="61"/>
      <c r="J1632" s="61"/>
      <c r="K1632" s="57"/>
      <c r="L1632" s="57"/>
      <c r="M1632" s="57"/>
      <c r="N1632" s="199"/>
    </row>
    <row r="1633" spans="1:14" x14ac:dyDescent="0.35">
      <c r="A1633" s="57" t="s">
        <v>65</v>
      </c>
      <c r="B1633" s="57"/>
      <c r="C1633" s="61"/>
      <c r="D1633" s="61"/>
      <c r="E1633" s="61"/>
      <c r="F1633" s="61"/>
      <c r="G1633" s="57"/>
      <c r="H1633" s="61"/>
      <c r="I1633" s="61"/>
      <c r="J1633" s="61"/>
      <c r="K1633" s="57"/>
      <c r="L1633" s="57"/>
      <c r="M1633" s="57"/>
      <c r="N1633" s="199"/>
    </row>
    <row r="1634" spans="1:14" x14ac:dyDescent="0.35">
      <c r="A1634" s="57" t="s">
        <v>65</v>
      </c>
      <c r="B1634" s="57"/>
      <c r="C1634" s="61"/>
      <c r="D1634" s="61"/>
      <c r="E1634" s="61"/>
      <c r="F1634" s="61"/>
      <c r="G1634" s="57"/>
      <c r="H1634" s="61"/>
      <c r="I1634" s="61"/>
      <c r="J1634" s="61"/>
      <c r="K1634" s="57"/>
      <c r="L1634" s="57"/>
      <c r="M1634" s="57"/>
      <c r="N1634" s="199"/>
    </row>
    <row r="1635" spans="1:14" x14ac:dyDescent="0.35">
      <c r="A1635" s="57" t="s">
        <v>65</v>
      </c>
      <c r="B1635" s="57"/>
      <c r="C1635" s="61"/>
      <c r="D1635" s="61"/>
      <c r="E1635" s="61"/>
      <c r="F1635" s="61"/>
      <c r="G1635" s="57"/>
      <c r="H1635" s="61"/>
      <c r="I1635" s="61"/>
      <c r="J1635" s="61"/>
      <c r="K1635" s="57"/>
      <c r="L1635" s="57"/>
      <c r="M1635" s="57"/>
      <c r="N1635" s="199"/>
    </row>
    <row r="1636" spans="1:14" x14ac:dyDescent="0.35">
      <c r="A1636" s="57" t="s">
        <v>65</v>
      </c>
      <c r="B1636" s="57"/>
      <c r="C1636" s="61"/>
      <c r="D1636" s="61"/>
      <c r="E1636" s="61"/>
      <c r="F1636" s="61"/>
      <c r="G1636" s="57"/>
      <c r="H1636" s="61"/>
      <c r="I1636" s="61"/>
      <c r="J1636" s="61"/>
      <c r="K1636" s="57"/>
      <c r="L1636" s="57"/>
      <c r="M1636" s="57"/>
      <c r="N1636" s="199"/>
    </row>
    <row r="1637" spans="1:14" x14ac:dyDescent="0.35">
      <c r="A1637" s="57" t="s">
        <v>65</v>
      </c>
      <c r="B1637" s="57"/>
      <c r="C1637" s="61"/>
      <c r="D1637" s="61"/>
      <c r="E1637" s="61"/>
      <c r="F1637" s="61"/>
      <c r="G1637" s="57"/>
      <c r="H1637" s="61"/>
      <c r="I1637" s="61"/>
      <c r="J1637" s="61"/>
      <c r="K1637" s="57"/>
      <c r="L1637" s="57"/>
      <c r="M1637" s="57"/>
      <c r="N1637" s="199"/>
    </row>
    <row r="1638" spans="1:14" x14ac:dyDescent="0.35">
      <c r="A1638" s="57" t="s">
        <v>65</v>
      </c>
      <c r="B1638" s="57"/>
      <c r="C1638" s="61"/>
      <c r="D1638" s="61"/>
      <c r="E1638" s="61"/>
      <c r="F1638" s="61"/>
      <c r="G1638" s="57"/>
      <c r="H1638" s="61"/>
      <c r="I1638" s="61"/>
      <c r="J1638" s="61"/>
      <c r="K1638" s="57"/>
      <c r="L1638" s="57"/>
      <c r="M1638" s="57"/>
      <c r="N1638" s="199"/>
    </row>
    <row r="1639" spans="1:14" x14ac:dyDescent="0.35">
      <c r="A1639" s="57" t="s">
        <v>65</v>
      </c>
      <c r="B1639" s="57"/>
      <c r="C1639" s="61"/>
      <c r="D1639" s="61"/>
      <c r="E1639" s="61"/>
      <c r="F1639" s="61"/>
      <c r="G1639" s="57"/>
      <c r="H1639" s="61"/>
      <c r="I1639" s="61"/>
      <c r="J1639" s="61"/>
      <c r="K1639" s="57"/>
      <c r="L1639" s="57"/>
      <c r="M1639" s="57"/>
      <c r="N1639" s="199"/>
    </row>
    <row r="1640" spans="1:14" x14ac:dyDescent="0.35">
      <c r="A1640" s="57" t="s">
        <v>65</v>
      </c>
      <c r="B1640" s="57"/>
      <c r="C1640" s="61"/>
      <c r="D1640" s="61"/>
      <c r="E1640" s="61"/>
      <c r="F1640" s="61"/>
      <c r="G1640" s="57"/>
      <c r="H1640" s="61"/>
      <c r="I1640" s="61"/>
      <c r="J1640" s="61"/>
      <c r="K1640" s="57"/>
      <c r="L1640" s="57"/>
      <c r="M1640" s="57"/>
      <c r="N1640" s="199"/>
    </row>
    <row r="1641" spans="1:14" x14ac:dyDescent="0.35">
      <c r="A1641" s="57" t="s">
        <v>65</v>
      </c>
      <c r="B1641" s="57"/>
      <c r="C1641" s="61"/>
      <c r="D1641" s="61"/>
      <c r="E1641" s="61"/>
      <c r="F1641" s="61"/>
      <c r="G1641" s="57"/>
      <c r="H1641" s="61"/>
      <c r="I1641" s="61"/>
      <c r="J1641" s="61"/>
      <c r="K1641" s="57"/>
      <c r="L1641" s="57"/>
      <c r="M1641" s="57"/>
      <c r="N1641" s="199"/>
    </row>
    <row r="1642" spans="1:14" x14ac:dyDescent="0.35">
      <c r="A1642" s="57" t="s">
        <v>65</v>
      </c>
      <c r="B1642" s="57"/>
      <c r="C1642" s="61"/>
      <c r="D1642" s="61"/>
      <c r="E1642" s="61"/>
      <c r="F1642" s="61"/>
      <c r="G1642" s="57"/>
      <c r="H1642" s="61"/>
      <c r="I1642" s="61"/>
      <c r="J1642" s="61"/>
      <c r="K1642" s="57"/>
      <c r="L1642" s="57"/>
      <c r="M1642" s="57"/>
      <c r="N1642" s="199"/>
    </row>
    <row r="1643" spans="1:14" x14ac:dyDescent="0.35">
      <c r="A1643" s="57" t="s">
        <v>65</v>
      </c>
      <c r="B1643" s="57"/>
      <c r="C1643" s="61"/>
      <c r="D1643" s="61"/>
      <c r="E1643" s="61"/>
      <c r="F1643" s="61"/>
      <c r="G1643" s="57"/>
      <c r="H1643" s="61"/>
      <c r="I1643" s="61"/>
      <c r="J1643" s="61"/>
      <c r="K1643" s="57"/>
      <c r="L1643" s="57"/>
      <c r="M1643" s="57"/>
      <c r="N1643" s="199"/>
    </row>
    <row r="1644" spans="1:14" x14ac:dyDescent="0.35">
      <c r="A1644" s="57"/>
      <c r="B1644" s="57"/>
      <c r="C1644" s="61"/>
      <c r="D1644" s="61"/>
      <c r="E1644" s="61"/>
      <c r="F1644" s="61"/>
      <c r="G1644" s="57"/>
      <c r="H1644" s="61"/>
      <c r="I1644" s="61"/>
      <c r="J1644" s="61"/>
      <c r="K1644" s="57"/>
      <c r="L1644" s="57"/>
      <c r="M1644" s="57"/>
      <c r="N1644" s="199"/>
    </row>
    <row r="1645" spans="1:14" x14ac:dyDescent="0.35">
      <c r="A1645" s="57"/>
      <c r="B1645" s="57"/>
      <c r="C1645" s="61"/>
      <c r="D1645" s="61"/>
      <c r="E1645" s="61"/>
      <c r="F1645" s="61"/>
      <c r="G1645" s="57"/>
      <c r="H1645" s="61"/>
      <c r="I1645" s="61"/>
      <c r="J1645" s="61"/>
      <c r="K1645" s="57"/>
      <c r="L1645" s="57"/>
      <c r="M1645" s="57"/>
      <c r="N1645" s="199"/>
    </row>
    <row r="1646" spans="1:14" x14ac:dyDescent="0.35">
      <c r="A1646" s="57"/>
      <c r="B1646" s="57"/>
      <c r="C1646" s="61"/>
      <c r="D1646" s="61"/>
      <c r="E1646" s="61"/>
      <c r="F1646" s="61"/>
      <c r="G1646" s="57"/>
      <c r="H1646" s="61"/>
      <c r="I1646" s="61"/>
      <c r="J1646" s="61"/>
      <c r="K1646" s="57"/>
      <c r="L1646" s="57"/>
      <c r="M1646" s="57"/>
      <c r="N1646" s="199"/>
    </row>
    <row r="1647" spans="1:14" x14ac:dyDescent="0.35">
      <c r="A1647" s="57"/>
      <c r="B1647" s="57"/>
      <c r="C1647" s="61"/>
      <c r="D1647" s="61"/>
      <c r="E1647" s="61"/>
      <c r="F1647" s="61"/>
      <c r="G1647" s="57"/>
      <c r="H1647" s="61"/>
      <c r="I1647" s="61"/>
      <c r="J1647" s="61"/>
      <c r="K1647" s="57"/>
      <c r="L1647" s="57"/>
      <c r="M1647" s="57"/>
      <c r="N1647" s="199"/>
    </row>
    <row r="1648" spans="1:14" x14ac:dyDescent="0.35">
      <c r="A1648" s="57"/>
      <c r="B1648" s="57"/>
      <c r="C1648" s="61"/>
      <c r="D1648" s="61"/>
      <c r="E1648" s="61"/>
      <c r="F1648" s="61"/>
      <c r="G1648" s="57"/>
      <c r="H1648" s="61"/>
      <c r="I1648" s="61"/>
      <c r="J1648" s="61"/>
      <c r="K1648" s="57"/>
      <c r="L1648" s="57"/>
      <c r="M1648" s="57"/>
      <c r="N1648" s="199"/>
    </row>
    <row r="1649" spans="1:14" x14ac:dyDescent="0.35">
      <c r="A1649" s="57"/>
      <c r="B1649" s="57"/>
      <c r="C1649" s="61"/>
      <c r="D1649" s="61"/>
      <c r="E1649" s="61"/>
      <c r="F1649" s="61"/>
      <c r="G1649" s="57"/>
      <c r="H1649" s="61"/>
      <c r="I1649" s="61"/>
      <c r="J1649" s="61"/>
      <c r="K1649" s="57"/>
      <c r="L1649" s="57"/>
      <c r="M1649" s="57"/>
      <c r="N1649" s="199"/>
    </row>
  </sheetData>
  <autoFilter ref="A4:N4" xr:uid="{00000000-0009-0000-0000-000007000000}">
    <sortState ref="A5:N472">
      <sortCondition ref="N4"/>
    </sortState>
  </autoFilter>
  <dataConsolidate/>
  <conditionalFormatting sqref="J1650:J63420">
    <cfRule type="containsText" dxfId="2" priority="7" operator="containsText" text="P">
      <formula>NOT(ISERROR(SEARCH("P",J1650)))</formula>
    </cfRule>
    <cfRule type="containsText" dxfId="1" priority="8" operator="containsText" text="D">
      <formula>NOT(ISERROR(SEARCH("D",J1650)))</formula>
    </cfRule>
  </conditionalFormatting>
  <dataValidations count="1">
    <dataValidation type="list" allowBlank="1" showInputMessage="1" showErrorMessage="1" sqref="J1650:J63420" xr:uid="{00000000-0002-0000-0700-000000000000}">
      <formula1>#REF!</formula1>
    </dataValidation>
  </dataValidations>
  <pageMargins left="0.7" right="0.7" top="0.75" bottom="0.75" header="0.3" footer="0.3"/>
  <pageSetup scale="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'Data For Calcs'!$C$10:$C$11</xm:f>
          </x14:formula1>
          <xm:sqref>I782:I1649 I4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pageSetUpPr fitToPage="1"/>
  </sheetPr>
  <dimension ref="A1:X178"/>
  <sheetViews>
    <sheetView topLeftCell="A7" zoomScaleNormal="100" workbookViewId="0">
      <selection activeCell="A16" sqref="A16"/>
    </sheetView>
  </sheetViews>
  <sheetFormatPr defaultColWidth="8.81640625" defaultRowHeight="14" x14ac:dyDescent="0.3"/>
  <cols>
    <col min="1" max="1" width="13.54296875" style="25" customWidth="1"/>
    <col min="2" max="2" width="13.7265625" style="25" customWidth="1"/>
    <col min="3" max="7" width="8.7265625" style="51" customWidth="1"/>
    <col min="8" max="8" width="15.453125" style="51" bestFit="1" customWidth="1"/>
    <col min="9" max="9" width="11.1796875" style="51" customWidth="1"/>
    <col min="10" max="10" width="11.54296875" style="51" customWidth="1"/>
    <col min="11" max="11" width="12" style="51" customWidth="1"/>
    <col min="12" max="12" width="8.54296875" style="51" customWidth="1"/>
    <col min="13" max="13" width="8.81640625" style="51" bestFit="1" customWidth="1"/>
    <col min="14" max="14" width="20.26953125" style="51" customWidth="1"/>
    <col min="15" max="15" width="22.453125" style="25" bestFit="1" customWidth="1"/>
    <col min="16" max="16" width="8.81640625" style="25"/>
    <col min="17" max="17" width="7.81640625" style="25" bestFit="1" customWidth="1"/>
    <col min="18" max="18" width="11.1796875" style="25" customWidth="1"/>
    <col min="19" max="20" width="10.7265625" style="25" customWidth="1"/>
    <col min="21" max="16384" width="8.81640625" style="25"/>
  </cols>
  <sheetData>
    <row r="1" spans="1:20" ht="25" customHeight="1" thickBot="1" x14ac:dyDescent="0.65">
      <c r="A1" s="471" t="s">
        <v>62</v>
      </c>
      <c r="B1" s="471"/>
      <c r="C1" s="471"/>
      <c r="D1" s="471"/>
      <c r="E1" s="471"/>
      <c r="F1" s="471"/>
      <c r="G1" s="471"/>
      <c r="H1" s="471"/>
      <c r="I1" s="471"/>
      <c r="J1" s="471"/>
      <c r="K1" s="471"/>
      <c r="L1" s="471"/>
      <c r="M1" s="471"/>
      <c r="N1" s="471"/>
      <c r="O1" s="471"/>
    </row>
    <row r="2" spans="1:20" x14ac:dyDescent="0.3">
      <c r="C2" s="109"/>
      <c r="E2" s="401"/>
      <c r="F2" s="401"/>
      <c r="G2" s="402" t="s">
        <v>71</v>
      </c>
      <c r="H2" s="403"/>
      <c r="I2" s="403"/>
      <c r="J2" s="403"/>
      <c r="K2" s="404"/>
      <c r="O2" s="111"/>
    </row>
    <row r="3" spans="1:20" ht="14.5" thickBot="1" x14ac:dyDescent="0.35">
      <c r="C3" s="109"/>
      <c r="D3" s="109"/>
      <c r="G3" s="133"/>
      <c r="H3" s="134"/>
      <c r="I3" s="135"/>
      <c r="J3" s="136" t="s">
        <v>148</v>
      </c>
      <c r="K3" s="293">
        <f>H26+H40+H54+H68+H82+H98+H114+H130</f>
        <v>3430.3708609271521</v>
      </c>
      <c r="O3" s="111"/>
    </row>
    <row r="4" spans="1:20" ht="14.5" thickBot="1" x14ac:dyDescent="0.35">
      <c r="A4" s="92"/>
      <c r="B4" s="92"/>
      <c r="C4" s="109"/>
      <c r="D4" s="109"/>
      <c r="G4" s="133"/>
      <c r="H4" s="137"/>
      <c r="I4" s="137"/>
      <c r="J4" s="136" t="s">
        <v>519</v>
      </c>
      <c r="K4" s="444"/>
      <c r="O4" s="111"/>
    </row>
    <row r="5" spans="1:20" ht="14.5" thickBot="1" x14ac:dyDescent="0.35">
      <c r="D5" s="109"/>
      <c r="G5" s="133"/>
      <c r="H5" s="137"/>
      <c r="I5" s="137"/>
      <c r="J5" s="136" t="s">
        <v>415</v>
      </c>
      <c r="K5" s="444"/>
      <c r="O5" s="111"/>
    </row>
    <row r="6" spans="1:20" ht="14.5" thickBot="1" x14ac:dyDescent="0.35">
      <c r="D6" s="109"/>
      <c r="G6" s="133"/>
      <c r="H6" s="137"/>
      <c r="I6" s="137"/>
      <c r="J6" s="136" t="s">
        <v>434</v>
      </c>
      <c r="K6" s="294">
        <f>K3-K4-K5</f>
        <v>3430.3708609271521</v>
      </c>
    </row>
    <row r="7" spans="1:20" ht="14.5" thickBot="1" x14ac:dyDescent="0.35">
      <c r="A7" s="472" t="s">
        <v>72</v>
      </c>
      <c r="B7" s="473"/>
      <c r="C7" s="473"/>
      <c r="D7" s="473"/>
      <c r="E7" s="474"/>
      <c r="F7" s="112"/>
      <c r="G7" s="138"/>
      <c r="H7" s="139"/>
      <c r="I7" s="140"/>
      <c r="J7" s="141" t="s">
        <v>377</v>
      </c>
      <c r="K7" s="283">
        <v>292460</v>
      </c>
      <c r="M7" s="476" t="s">
        <v>491</v>
      </c>
      <c r="N7" s="477"/>
      <c r="O7" s="478"/>
    </row>
    <row r="8" spans="1:20" ht="14.5" thickBot="1" x14ac:dyDescent="0.35">
      <c r="A8" s="182" t="s">
        <v>50</v>
      </c>
      <c r="B8" s="144" t="s">
        <v>64</v>
      </c>
      <c r="C8" s="145"/>
      <c r="D8" s="146"/>
      <c r="E8" s="147"/>
      <c r="F8" s="112"/>
      <c r="J8" s="51" t="s">
        <v>270</v>
      </c>
      <c r="K8" s="111">
        <f>K6/K7</f>
        <v>1.1729367643189333E-2</v>
      </c>
      <c r="M8" s="334"/>
      <c r="N8" s="152" t="s">
        <v>378</v>
      </c>
      <c r="O8" s="153"/>
    </row>
    <row r="9" spans="1:20" ht="15.75" customHeight="1" thickBot="1" x14ac:dyDescent="0.35">
      <c r="A9" s="183">
        <v>44047</v>
      </c>
      <c r="B9" s="144" t="s">
        <v>54</v>
      </c>
      <c r="C9" s="145"/>
      <c r="D9" s="146"/>
      <c r="E9" s="147"/>
      <c r="F9" s="109"/>
      <c r="G9" s="475" t="s">
        <v>80</v>
      </c>
      <c r="H9" s="475"/>
      <c r="I9" s="475"/>
      <c r="J9" s="475"/>
      <c r="K9" s="475"/>
      <c r="L9" s="110"/>
      <c r="M9" s="338"/>
      <c r="N9" s="155" t="s">
        <v>379</v>
      </c>
      <c r="O9" s="154"/>
    </row>
    <row r="10" spans="1:20" ht="14.5" thickBot="1" x14ac:dyDescent="0.35">
      <c r="A10" s="184">
        <v>44013</v>
      </c>
      <c r="B10" s="148" t="s">
        <v>63</v>
      </c>
      <c r="C10" s="146"/>
      <c r="D10" s="146"/>
      <c r="E10" s="147"/>
      <c r="F10" s="109"/>
      <c r="G10" s="475"/>
      <c r="H10" s="475"/>
      <c r="I10" s="475"/>
      <c r="J10" s="475"/>
      <c r="K10" s="475"/>
      <c r="L10" s="113"/>
      <c r="M10" s="338">
        <f>M8+M9</f>
        <v>0</v>
      </c>
      <c r="N10" s="155" t="s">
        <v>492</v>
      </c>
      <c r="O10" s="156"/>
    </row>
    <row r="11" spans="1:20" ht="14.5" thickBot="1" x14ac:dyDescent="0.35">
      <c r="A11" s="185">
        <v>43831</v>
      </c>
      <c r="B11" s="149" t="s">
        <v>55</v>
      </c>
      <c r="C11" s="150"/>
      <c r="D11" s="150"/>
      <c r="E11" s="151"/>
      <c r="F11" s="109"/>
      <c r="G11" s="475"/>
      <c r="H11" s="475"/>
      <c r="I11" s="475"/>
      <c r="J11" s="475"/>
      <c r="K11" s="475"/>
      <c r="L11" s="109"/>
      <c r="M11" s="339"/>
      <c r="N11" s="157" t="s">
        <v>187</v>
      </c>
      <c r="O11" s="158"/>
    </row>
    <row r="12" spans="1:20" x14ac:dyDescent="0.3">
      <c r="B12" s="51"/>
      <c r="D12" s="108"/>
      <c r="N12" s="25"/>
      <c r="R12" s="188"/>
      <c r="S12" s="265"/>
    </row>
    <row r="13" spans="1:20" ht="14.5" thickBot="1" x14ac:dyDescent="0.35">
      <c r="A13" s="51"/>
      <c r="B13" s="51"/>
      <c r="N13" s="25"/>
      <c r="S13" s="265"/>
    </row>
    <row r="14" spans="1:20" ht="13.9" customHeight="1" thickBot="1" x14ac:dyDescent="0.35">
      <c r="B14" s="51"/>
      <c r="C14" s="466" t="s">
        <v>44</v>
      </c>
      <c r="D14" s="467"/>
      <c r="G14" s="114" t="s">
        <v>45</v>
      </c>
      <c r="H14" s="466" t="s">
        <v>52</v>
      </c>
      <c r="I14" s="467"/>
      <c r="L14" s="466" t="s">
        <v>81</v>
      </c>
      <c r="M14" s="467"/>
      <c r="N14" s="25"/>
      <c r="R14" s="265" t="s">
        <v>416</v>
      </c>
      <c r="S14" s="265"/>
    </row>
    <row r="15" spans="1:20" ht="14.5" thickBot="1" x14ac:dyDescent="0.35">
      <c r="A15" s="114" t="s">
        <v>394</v>
      </c>
      <c r="B15" s="115" t="s">
        <v>23</v>
      </c>
      <c r="C15" s="116" t="s">
        <v>24</v>
      </c>
      <c r="D15" s="116" t="s">
        <v>25</v>
      </c>
      <c r="E15" s="257" t="s">
        <v>26</v>
      </c>
      <c r="F15" s="257" t="s">
        <v>27</v>
      </c>
      <c r="G15" s="117" t="s">
        <v>73</v>
      </c>
      <c r="H15" s="257" t="s">
        <v>53</v>
      </c>
      <c r="I15" s="114" t="s">
        <v>36</v>
      </c>
      <c r="J15" s="258" t="s">
        <v>48</v>
      </c>
      <c r="K15" s="257" t="s">
        <v>31</v>
      </c>
      <c r="L15" s="114" t="s">
        <v>46</v>
      </c>
      <c r="M15" s="114" t="s">
        <v>34</v>
      </c>
      <c r="N15" s="114" t="s">
        <v>1</v>
      </c>
      <c r="O15" s="114" t="s">
        <v>74</v>
      </c>
      <c r="P15" s="266" t="s">
        <v>121</v>
      </c>
      <c r="S15" s="264"/>
    </row>
    <row r="16" spans="1:20" s="51" customFormat="1" ht="14.5" x14ac:dyDescent="0.35">
      <c r="A16" s="159">
        <v>968900</v>
      </c>
      <c r="B16" s="175" t="s">
        <v>563</v>
      </c>
      <c r="C16" s="171"/>
      <c r="D16" s="171"/>
      <c r="E16" s="195">
        <v>5755.4</v>
      </c>
      <c r="F16" s="161">
        <f t="shared" ref="F16:F25" si="0">ABS(D16-C16)</f>
        <v>0</v>
      </c>
      <c r="G16" s="171"/>
      <c r="H16" s="164">
        <f t="shared" ref="H16:H25" si="1">E16*P16/15.1</f>
        <v>3430.3708609271521</v>
      </c>
      <c r="I16" s="163">
        <f>H16</f>
        <v>3430.3708609271521</v>
      </c>
      <c r="J16" s="171"/>
      <c r="K16" s="178"/>
      <c r="L16" s="171"/>
      <c r="M16" s="171"/>
      <c r="N16" s="167">
        <f>$A$10</f>
        <v>44013</v>
      </c>
      <c r="O16" s="326"/>
      <c r="P16" s="267">
        <v>9</v>
      </c>
      <c r="Q16" s="445" t="s">
        <v>564</v>
      </c>
      <c r="R16" s="445"/>
      <c r="S16" s="446"/>
      <c r="T16" s="264"/>
    </row>
    <row r="17" spans="1:20" x14ac:dyDescent="0.3">
      <c r="A17" s="159" t="str">
        <f>IF(NOT(ISBLANK(B17)),A16,"")</f>
        <v/>
      </c>
      <c r="B17" s="316"/>
      <c r="C17" s="173"/>
      <c r="D17" s="173"/>
      <c r="E17" s="174"/>
      <c r="F17" s="161">
        <f t="shared" si="0"/>
        <v>0</v>
      </c>
      <c r="G17" s="173"/>
      <c r="H17" s="164">
        <f t="shared" si="1"/>
        <v>0</v>
      </c>
      <c r="I17" s="164">
        <f>H17</f>
        <v>0</v>
      </c>
      <c r="J17" s="173"/>
      <c r="K17" s="179"/>
      <c r="L17" s="173"/>
      <c r="M17" s="173"/>
      <c r="N17" s="168" t="str">
        <f t="shared" ref="N17:N25" si="2">IF(NOT(ISBLANK(B17)),$A$10,"")</f>
        <v/>
      </c>
      <c r="O17" s="179"/>
      <c r="P17" s="268"/>
      <c r="Q17" s="364"/>
      <c r="T17" s="362"/>
    </row>
    <row r="18" spans="1:20" x14ac:dyDescent="0.3">
      <c r="A18" s="159" t="str">
        <f>IF(NOT(ISBLANK(B18)),A17,"")</f>
        <v/>
      </c>
      <c r="B18" s="316"/>
      <c r="C18" s="173"/>
      <c r="D18" s="173"/>
      <c r="E18" s="196"/>
      <c r="F18" s="161">
        <f t="shared" si="0"/>
        <v>0</v>
      </c>
      <c r="G18" s="173"/>
      <c r="H18" s="164">
        <f t="shared" si="1"/>
        <v>0</v>
      </c>
      <c r="I18" s="164">
        <f t="shared" ref="I18:I24" si="3">H18</f>
        <v>0</v>
      </c>
      <c r="J18" s="173"/>
      <c r="K18" s="179"/>
      <c r="L18" s="173"/>
      <c r="M18" s="173"/>
      <c r="N18" s="168" t="str">
        <f>IF(NOT(ISBLANK(B18)),$A$10,"")</f>
        <v/>
      </c>
      <c r="O18" s="179"/>
      <c r="P18" s="268"/>
      <c r="R18" s="358"/>
    </row>
    <row r="19" spans="1:20" x14ac:dyDescent="0.3">
      <c r="A19" s="159" t="str">
        <f t="shared" ref="A19:A25" si="4">IF(NOT(ISBLANK(B19)),A18,"")</f>
        <v/>
      </c>
      <c r="B19" s="172"/>
      <c r="C19" s="173"/>
      <c r="D19" s="173"/>
      <c r="E19" s="174"/>
      <c r="F19" s="161">
        <f t="shared" si="0"/>
        <v>0</v>
      </c>
      <c r="G19" s="173"/>
      <c r="H19" s="164">
        <f t="shared" si="1"/>
        <v>0</v>
      </c>
      <c r="I19" s="164">
        <f t="shared" si="3"/>
        <v>0</v>
      </c>
      <c r="J19" s="173"/>
      <c r="K19" s="179"/>
      <c r="L19" s="173"/>
      <c r="M19" s="173"/>
      <c r="N19" s="168" t="str">
        <f t="shared" si="2"/>
        <v/>
      </c>
      <c r="O19" s="179"/>
      <c r="P19" s="268"/>
    </row>
    <row r="20" spans="1:20" x14ac:dyDescent="0.3">
      <c r="A20" s="159" t="str">
        <f>IF(NOT(ISBLANK(B20)),A19,"")</f>
        <v/>
      </c>
      <c r="B20" s="172"/>
      <c r="C20" s="173"/>
      <c r="D20" s="173"/>
      <c r="E20" s="174"/>
      <c r="F20" s="161">
        <f t="shared" si="0"/>
        <v>0</v>
      </c>
      <c r="G20" s="173"/>
      <c r="H20" s="164">
        <f t="shared" si="1"/>
        <v>0</v>
      </c>
      <c r="I20" s="164">
        <f t="shared" si="3"/>
        <v>0</v>
      </c>
      <c r="J20" s="173"/>
      <c r="K20" s="179"/>
      <c r="L20" s="173"/>
      <c r="M20" s="173"/>
      <c r="N20" s="168" t="str">
        <f t="shared" si="2"/>
        <v/>
      </c>
      <c r="O20" s="179"/>
      <c r="P20" s="356"/>
    </row>
    <row r="21" spans="1:20" x14ac:dyDescent="0.3">
      <c r="A21" s="159" t="str">
        <f>IF(NOT(ISBLANK(B21)),A20,"")</f>
        <v/>
      </c>
      <c r="B21" s="172"/>
      <c r="C21" s="173"/>
      <c r="D21" s="173"/>
      <c r="E21" s="174"/>
      <c r="F21" s="161">
        <f>ABS(D21-C21)</f>
        <v>0</v>
      </c>
      <c r="G21" s="173"/>
      <c r="H21" s="164">
        <f>E21*P21/15.1</f>
        <v>0</v>
      </c>
      <c r="I21" s="164">
        <f t="shared" si="3"/>
        <v>0</v>
      </c>
      <c r="J21" s="173"/>
      <c r="K21" s="179"/>
      <c r="L21" s="173"/>
      <c r="M21" s="173"/>
      <c r="N21" s="168" t="str">
        <f>IF(NOT(ISBLANK(B21)),$A$10,"")</f>
        <v/>
      </c>
      <c r="O21" s="179"/>
      <c r="P21" s="356"/>
    </row>
    <row r="22" spans="1:20" x14ac:dyDescent="0.3">
      <c r="A22" s="159" t="str">
        <f>IF(NOT(ISBLANK(B22)),A21,"")</f>
        <v/>
      </c>
      <c r="B22" s="175"/>
      <c r="C22" s="173"/>
      <c r="D22" s="173"/>
      <c r="E22" s="174"/>
      <c r="F22" s="161">
        <f>ABS(D22-C22)</f>
        <v>0</v>
      </c>
      <c r="G22" s="173"/>
      <c r="H22" s="164">
        <f>E22*P22/15.1</f>
        <v>0</v>
      </c>
      <c r="I22" s="164">
        <f t="shared" si="3"/>
        <v>0</v>
      </c>
      <c r="J22" s="173"/>
      <c r="K22" s="179"/>
      <c r="L22" s="173"/>
      <c r="M22" s="173"/>
      <c r="N22" s="168" t="str">
        <f>IF(NOT(ISBLANK(B22)),$A$10,"")</f>
        <v/>
      </c>
      <c r="O22" s="179"/>
      <c r="P22" s="356"/>
      <c r="S22" s="358"/>
    </row>
    <row r="23" spans="1:20" x14ac:dyDescent="0.3">
      <c r="A23" s="159" t="str">
        <f>IF(NOT(ISBLANK(B23)),A22,"")</f>
        <v/>
      </c>
      <c r="B23" s="175"/>
      <c r="C23" s="173"/>
      <c r="D23" s="173"/>
      <c r="E23" s="174"/>
      <c r="F23" s="161">
        <f>ABS(D23-C23)</f>
        <v>0</v>
      </c>
      <c r="G23" s="173"/>
      <c r="H23" s="164">
        <f>E23*P23/15.1</f>
        <v>0</v>
      </c>
      <c r="I23" s="164">
        <f t="shared" si="3"/>
        <v>0</v>
      </c>
      <c r="J23" s="173"/>
      <c r="K23" s="179"/>
      <c r="L23" s="173"/>
      <c r="M23" s="173"/>
      <c r="N23" s="168" t="str">
        <f>IF(NOT(ISBLANK(B23)),$A$10,"")</f>
        <v/>
      </c>
      <c r="O23" s="179"/>
      <c r="P23" s="356"/>
      <c r="S23" s="358"/>
    </row>
    <row r="24" spans="1:20" x14ac:dyDescent="0.3">
      <c r="A24" s="159" t="str">
        <f t="shared" si="4"/>
        <v/>
      </c>
      <c r="B24" s="175"/>
      <c r="C24" s="173"/>
      <c r="D24" s="173"/>
      <c r="E24" s="174"/>
      <c r="F24" s="161">
        <f t="shared" si="0"/>
        <v>0</v>
      </c>
      <c r="G24" s="173"/>
      <c r="H24" s="164">
        <f t="shared" si="1"/>
        <v>0</v>
      </c>
      <c r="I24" s="164">
        <f t="shared" si="3"/>
        <v>0</v>
      </c>
      <c r="J24" s="173"/>
      <c r="K24" s="179"/>
      <c r="L24" s="173"/>
      <c r="M24" s="173"/>
      <c r="N24" s="168" t="str">
        <f t="shared" si="2"/>
        <v/>
      </c>
      <c r="O24" s="179"/>
      <c r="P24" s="268"/>
    </row>
    <row r="25" spans="1:20" ht="14.5" thickBot="1" x14ac:dyDescent="0.35">
      <c r="A25" s="159" t="str">
        <f t="shared" si="4"/>
        <v/>
      </c>
      <c r="B25" s="181"/>
      <c r="C25" s="176"/>
      <c r="D25" s="176"/>
      <c r="E25" s="177"/>
      <c r="F25" s="162">
        <f t="shared" si="0"/>
        <v>0</v>
      </c>
      <c r="G25" s="173"/>
      <c r="H25" s="270">
        <f t="shared" si="1"/>
        <v>0</v>
      </c>
      <c r="I25" s="165">
        <f>H25</f>
        <v>0</v>
      </c>
      <c r="J25" s="176"/>
      <c r="K25" s="180"/>
      <c r="L25" s="176"/>
      <c r="M25" s="176"/>
      <c r="N25" s="169" t="str">
        <f t="shared" si="2"/>
        <v/>
      </c>
      <c r="O25" s="180"/>
      <c r="P25" s="269"/>
    </row>
    <row r="26" spans="1:20" ht="16" thickBot="1" x14ac:dyDescent="0.4">
      <c r="A26" s="127" t="s">
        <v>49</v>
      </c>
      <c r="B26" s="128"/>
      <c r="C26" s="128"/>
      <c r="D26" s="128"/>
      <c r="E26" s="128"/>
      <c r="F26" s="128"/>
      <c r="G26" s="129"/>
      <c r="H26" s="170">
        <f>SUM(H16:H25)</f>
        <v>3430.3708609271521</v>
      </c>
      <c r="I26" s="166">
        <f>SUM(I16:I25)</f>
        <v>3430.3708609271521</v>
      </c>
      <c r="J26" s="468"/>
      <c r="K26" s="469"/>
      <c r="L26" s="469"/>
      <c r="M26" s="469"/>
      <c r="N26" s="469"/>
      <c r="O26" s="469"/>
      <c r="P26" s="470"/>
      <c r="Q26" s="25" t="s">
        <v>243</v>
      </c>
      <c r="R26" s="360"/>
      <c r="S26" s="399" t="e">
        <f>H26/R26</f>
        <v>#DIV/0!</v>
      </c>
      <c r="T26" s="400">
        <f>H26-R26</f>
        <v>3430.3708609271521</v>
      </c>
    </row>
    <row r="27" spans="1:20" ht="16" thickBot="1" x14ac:dyDescent="0.4">
      <c r="A27" s="118"/>
      <c r="B27" s="118"/>
      <c r="C27" s="118"/>
      <c r="D27" s="118"/>
      <c r="E27" s="118"/>
      <c r="F27" s="118"/>
      <c r="G27" s="118"/>
      <c r="H27" s="275"/>
      <c r="I27" s="275"/>
      <c r="J27" s="120"/>
      <c r="K27" s="120"/>
      <c r="L27" s="120"/>
      <c r="M27" s="120"/>
      <c r="N27" s="120"/>
      <c r="O27" s="120"/>
      <c r="P27" s="120"/>
      <c r="T27" s="346"/>
    </row>
    <row r="28" spans="1:20" ht="14.5" thickBot="1" x14ac:dyDescent="0.35">
      <c r="B28" s="51"/>
      <c r="C28" s="466" t="s">
        <v>44</v>
      </c>
      <c r="D28" s="467"/>
      <c r="G28" s="114" t="s">
        <v>45</v>
      </c>
      <c r="H28" s="466" t="s">
        <v>52</v>
      </c>
      <c r="I28" s="467"/>
      <c r="L28" s="466" t="s">
        <v>81</v>
      </c>
      <c r="M28" s="467"/>
      <c r="N28" s="25"/>
      <c r="T28" s="346"/>
    </row>
    <row r="29" spans="1:20" ht="14.5" thickBot="1" x14ac:dyDescent="0.35">
      <c r="A29" s="114" t="s">
        <v>394</v>
      </c>
      <c r="B29" s="115" t="s">
        <v>23</v>
      </c>
      <c r="C29" s="116" t="s">
        <v>24</v>
      </c>
      <c r="D29" s="116" t="s">
        <v>25</v>
      </c>
      <c r="E29" s="271" t="s">
        <v>26</v>
      </c>
      <c r="F29" s="271" t="s">
        <v>27</v>
      </c>
      <c r="G29" s="117" t="s">
        <v>73</v>
      </c>
      <c r="H29" s="271" t="s">
        <v>53</v>
      </c>
      <c r="I29" s="114" t="s">
        <v>36</v>
      </c>
      <c r="J29" s="272" t="s">
        <v>48</v>
      </c>
      <c r="K29" s="271" t="s">
        <v>31</v>
      </c>
      <c r="L29" s="114" t="s">
        <v>46</v>
      </c>
      <c r="M29" s="114" t="s">
        <v>34</v>
      </c>
      <c r="N29" s="114" t="s">
        <v>1</v>
      </c>
      <c r="O29" s="114" t="s">
        <v>74</v>
      </c>
      <c r="P29" s="266" t="s">
        <v>121</v>
      </c>
      <c r="T29" s="346"/>
    </row>
    <row r="30" spans="1:20" x14ac:dyDescent="0.3">
      <c r="A30" s="159">
        <v>968901</v>
      </c>
      <c r="B30" s="331" t="s">
        <v>514</v>
      </c>
      <c r="C30" s="171"/>
      <c r="D30" s="171"/>
      <c r="E30" s="195"/>
      <c r="F30" s="160">
        <f t="shared" ref="F30:F39" si="5">ABS(D30-C30)</f>
        <v>0</v>
      </c>
      <c r="G30" s="171"/>
      <c r="H30" s="164">
        <f t="shared" ref="H30:H39" si="6">E30*P30/15.1</f>
        <v>0</v>
      </c>
      <c r="I30" s="163">
        <f>H30</f>
        <v>0</v>
      </c>
      <c r="J30" s="171" t="s">
        <v>42</v>
      </c>
      <c r="K30" s="178">
        <v>3</v>
      </c>
      <c r="L30" s="171"/>
      <c r="M30" s="171"/>
      <c r="N30" s="167">
        <f>$A$10</f>
        <v>44013</v>
      </c>
      <c r="O30" s="351" t="s">
        <v>533</v>
      </c>
      <c r="P30" s="352">
        <v>24</v>
      </c>
      <c r="R30" s="364"/>
      <c r="T30" s="346"/>
    </row>
    <row r="31" spans="1:20" x14ac:dyDescent="0.3">
      <c r="A31" s="159" t="str">
        <f>IF(NOT(ISBLANK(B31)),A30,"")</f>
        <v/>
      </c>
      <c r="B31" s="316"/>
      <c r="C31" s="173"/>
      <c r="D31" s="173"/>
      <c r="E31" s="174"/>
      <c r="F31" s="194">
        <f t="shared" si="5"/>
        <v>0</v>
      </c>
      <c r="G31" s="173"/>
      <c r="H31" s="164">
        <f t="shared" si="6"/>
        <v>0</v>
      </c>
      <c r="I31" s="164">
        <f>H31</f>
        <v>0</v>
      </c>
      <c r="J31" s="173" t="s">
        <v>42</v>
      </c>
      <c r="K31" s="179">
        <v>3</v>
      </c>
      <c r="L31" s="173"/>
      <c r="M31" s="173"/>
      <c r="N31" s="168" t="str">
        <f t="shared" ref="N31:N39" si="7">IF(NOT(ISBLANK(B31)),$A$10,"")</f>
        <v/>
      </c>
      <c r="O31" s="357"/>
      <c r="P31" s="268">
        <v>24</v>
      </c>
      <c r="T31" s="346"/>
    </row>
    <row r="32" spans="1:20" x14ac:dyDescent="0.3">
      <c r="A32" s="159" t="str">
        <f>IF(NOT(ISBLANK(B32)),A31,"")</f>
        <v/>
      </c>
      <c r="B32" s="316"/>
      <c r="C32" s="173"/>
      <c r="D32" s="173"/>
      <c r="E32" s="196"/>
      <c r="F32" s="161">
        <f t="shared" si="5"/>
        <v>0</v>
      </c>
      <c r="G32" s="173"/>
      <c r="H32" s="164">
        <f t="shared" si="6"/>
        <v>0</v>
      </c>
      <c r="I32" s="164">
        <f t="shared" ref="I32:I38" si="8">H32</f>
        <v>0</v>
      </c>
      <c r="J32" s="173"/>
      <c r="K32" s="179"/>
      <c r="L32" s="173"/>
      <c r="M32" s="173"/>
      <c r="N32" s="168" t="str">
        <f>IF(NOT(ISBLANK(B32)),$A$10,"")</f>
        <v/>
      </c>
      <c r="O32" s="357"/>
      <c r="P32" s="268"/>
      <c r="Q32" s="374"/>
      <c r="R32" s="373"/>
      <c r="S32" s="323"/>
      <c r="T32" s="346"/>
    </row>
    <row r="33" spans="1:21" x14ac:dyDescent="0.3">
      <c r="A33" s="159" t="str">
        <f t="shared" ref="A33:A38" si="9">IF(NOT(ISBLANK(B33)),A32,"")</f>
        <v/>
      </c>
      <c r="B33" s="316"/>
      <c r="C33" s="173"/>
      <c r="D33" s="173"/>
      <c r="E33" s="174"/>
      <c r="F33" s="161">
        <f t="shared" si="5"/>
        <v>0</v>
      </c>
      <c r="G33" s="173"/>
      <c r="H33" s="164">
        <f t="shared" si="6"/>
        <v>0</v>
      </c>
      <c r="I33" s="164">
        <f t="shared" si="8"/>
        <v>0</v>
      </c>
      <c r="J33" s="173"/>
      <c r="K33" s="179"/>
      <c r="L33" s="173"/>
      <c r="M33" s="173"/>
      <c r="N33" s="168" t="str">
        <f t="shared" si="7"/>
        <v/>
      </c>
      <c r="O33" s="179"/>
      <c r="P33" s="268"/>
      <c r="Q33" s="374"/>
      <c r="R33" s="373"/>
      <c r="S33" s="359"/>
      <c r="T33" s="361"/>
      <c r="U33" s="372"/>
    </row>
    <row r="34" spans="1:21" x14ac:dyDescent="0.3">
      <c r="A34" s="159" t="str">
        <f t="shared" si="9"/>
        <v/>
      </c>
      <c r="B34" s="316"/>
      <c r="C34" s="173"/>
      <c r="D34" s="173"/>
      <c r="E34" s="174"/>
      <c r="F34" s="161">
        <f t="shared" ref="F34" si="10">ABS(D34-C34)</f>
        <v>0</v>
      </c>
      <c r="G34" s="173"/>
      <c r="H34" s="164">
        <f t="shared" ref="H34" si="11">E34*P34/15.1</f>
        <v>0</v>
      </c>
      <c r="I34" s="164">
        <f t="shared" ref="I34" si="12">H34</f>
        <v>0</v>
      </c>
      <c r="J34" s="173"/>
      <c r="K34" s="179"/>
      <c r="L34" s="173"/>
      <c r="M34" s="173"/>
      <c r="N34" s="168" t="str">
        <f t="shared" si="7"/>
        <v/>
      </c>
      <c r="O34" s="179"/>
      <c r="P34" s="268"/>
      <c r="R34" s="373"/>
      <c r="S34" s="359"/>
      <c r="T34" s="373"/>
      <c r="U34" s="359"/>
    </row>
    <row r="35" spans="1:21" x14ac:dyDescent="0.3">
      <c r="A35" s="159" t="str">
        <f t="shared" si="9"/>
        <v/>
      </c>
      <c r="B35" s="316"/>
      <c r="C35" s="173"/>
      <c r="D35" s="173"/>
      <c r="E35" s="174"/>
      <c r="F35" s="161">
        <f t="shared" si="5"/>
        <v>0</v>
      </c>
      <c r="G35" s="173"/>
      <c r="H35" s="164">
        <f t="shared" si="6"/>
        <v>0</v>
      </c>
      <c r="I35" s="164">
        <f t="shared" si="8"/>
        <v>0</v>
      </c>
      <c r="J35" s="173"/>
      <c r="K35" s="179"/>
      <c r="L35" s="173"/>
      <c r="M35" s="173"/>
      <c r="N35" s="168" t="str">
        <f>IF(NOT(ISBLANK(B35)),$A$10,"")</f>
        <v/>
      </c>
      <c r="O35" s="179"/>
      <c r="P35" s="268"/>
      <c r="Q35" s="374"/>
      <c r="R35" s="373"/>
      <c r="S35" s="359"/>
      <c r="T35" s="361"/>
      <c r="U35" s="359"/>
    </row>
    <row r="36" spans="1:21" ht="14.5" x14ac:dyDescent="0.35">
      <c r="A36" s="159" t="str">
        <f t="shared" si="9"/>
        <v/>
      </c>
      <c r="B36" s="316"/>
      <c r="C36" s="173"/>
      <c r="D36" s="173"/>
      <c r="E36" s="174"/>
      <c r="F36" s="161">
        <f t="shared" si="5"/>
        <v>0</v>
      </c>
      <c r="G36" s="173"/>
      <c r="H36" s="164">
        <f t="shared" si="6"/>
        <v>0</v>
      </c>
      <c r="I36" s="164">
        <f t="shared" si="8"/>
        <v>0</v>
      </c>
      <c r="J36" s="173"/>
      <c r="K36" s="179"/>
      <c r="L36" s="173"/>
      <c r="M36" s="173"/>
      <c r="N36" s="168" t="str">
        <f>IF(NOT(ISBLANK(B36)),$A$10,"")</f>
        <v/>
      </c>
      <c r="O36" s="179"/>
      <c r="P36" s="268"/>
      <c r="R36" s="373"/>
      <c r="S36" s="371"/>
      <c r="T36" s="373"/>
      <c r="U36" s="371"/>
    </row>
    <row r="37" spans="1:21" x14ac:dyDescent="0.3">
      <c r="A37" s="159" t="str">
        <f t="shared" si="9"/>
        <v/>
      </c>
      <c r="B37" s="175"/>
      <c r="C37" s="173"/>
      <c r="D37" s="173"/>
      <c r="E37" s="174"/>
      <c r="F37" s="161">
        <f t="shared" si="5"/>
        <v>0</v>
      </c>
      <c r="G37" s="173"/>
      <c r="H37" s="164">
        <f t="shared" si="6"/>
        <v>0</v>
      </c>
      <c r="I37" s="164">
        <f t="shared" si="8"/>
        <v>0</v>
      </c>
      <c r="J37" s="173"/>
      <c r="K37" s="179"/>
      <c r="L37" s="173"/>
      <c r="M37" s="173"/>
      <c r="N37" s="168" t="str">
        <f>IF(NOT(ISBLANK(B37)),$A$10,"")</f>
        <v/>
      </c>
      <c r="O37" s="179"/>
      <c r="P37" s="268"/>
      <c r="T37" s="346"/>
    </row>
    <row r="38" spans="1:21" x14ac:dyDescent="0.3">
      <c r="A38" s="159" t="str">
        <f t="shared" si="9"/>
        <v/>
      </c>
      <c r="B38" s="175"/>
      <c r="C38" s="173"/>
      <c r="D38" s="173"/>
      <c r="E38" s="174"/>
      <c r="F38" s="161">
        <f t="shared" si="5"/>
        <v>0</v>
      </c>
      <c r="G38" s="173"/>
      <c r="H38" s="164">
        <f t="shared" si="6"/>
        <v>0</v>
      </c>
      <c r="I38" s="164">
        <f t="shared" si="8"/>
        <v>0</v>
      </c>
      <c r="J38" s="173"/>
      <c r="K38" s="179"/>
      <c r="L38" s="173"/>
      <c r="M38" s="173"/>
      <c r="N38" s="168" t="str">
        <f t="shared" si="7"/>
        <v/>
      </c>
      <c r="O38" s="179"/>
      <c r="P38" s="268"/>
      <c r="Q38" s="374"/>
      <c r="T38" s="346"/>
    </row>
    <row r="39" spans="1:21" ht="14.5" thickBot="1" x14ac:dyDescent="0.35">
      <c r="A39" s="159" t="str">
        <f t="shared" ref="A39" si="13">IF(NOT(ISBLANK(B39)),A38,"")</f>
        <v/>
      </c>
      <c r="B39" s="181"/>
      <c r="C39" s="176"/>
      <c r="D39" s="176"/>
      <c r="E39" s="177"/>
      <c r="F39" s="162">
        <f t="shared" si="5"/>
        <v>0</v>
      </c>
      <c r="G39" s="173"/>
      <c r="H39" s="270">
        <f t="shared" si="6"/>
        <v>0</v>
      </c>
      <c r="I39" s="165">
        <f>H39</f>
        <v>0</v>
      </c>
      <c r="J39" s="176"/>
      <c r="K39" s="180"/>
      <c r="L39" s="176"/>
      <c r="M39" s="176"/>
      <c r="N39" s="169" t="str">
        <f t="shared" si="7"/>
        <v/>
      </c>
      <c r="O39" s="180"/>
      <c r="P39" s="269"/>
      <c r="T39" s="346"/>
    </row>
    <row r="40" spans="1:21" ht="16" thickBot="1" x14ac:dyDescent="0.4">
      <c r="A40" s="127" t="s">
        <v>49</v>
      </c>
      <c r="B40" s="128"/>
      <c r="C40" s="128"/>
      <c r="D40" s="128"/>
      <c r="E40" s="128"/>
      <c r="F40" s="128"/>
      <c r="G40" s="129"/>
      <c r="H40" s="170">
        <f>SUM(H30:H39)</f>
        <v>0</v>
      </c>
      <c r="I40" s="166">
        <f>SUM(I30:I39)</f>
        <v>0</v>
      </c>
      <c r="J40" s="468"/>
      <c r="K40" s="469"/>
      <c r="L40" s="469"/>
      <c r="M40" s="469"/>
      <c r="N40" s="469"/>
      <c r="O40" s="469"/>
      <c r="P40" s="470"/>
      <c r="Q40" s="25" t="s">
        <v>243</v>
      </c>
      <c r="R40" s="360"/>
      <c r="S40" s="399" t="e">
        <f t="shared" ref="S40:S82" si="14">H40/R40</f>
        <v>#DIV/0!</v>
      </c>
      <c r="T40" s="400">
        <f t="shared" ref="T40:T82" si="15">H40-R40</f>
        <v>0</v>
      </c>
    </row>
    <row r="41" spans="1:21" ht="16" thickBot="1" x14ac:dyDescent="0.4">
      <c r="B41" s="118"/>
      <c r="C41" s="118"/>
      <c r="D41" s="118"/>
      <c r="E41" s="118"/>
      <c r="F41" s="118"/>
      <c r="G41" s="118"/>
      <c r="H41" s="119"/>
      <c r="I41" s="119"/>
      <c r="J41" s="120"/>
      <c r="K41" s="120"/>
      <c r="L41" s="120"/>
      <c r="M41" s="120"/>
      <c r="N41" s="121"/>
      <c r="T41" s="346"/>
    </row>
    <row r="42" spans="1:21" ht="14.5" thickBot="1" x14ac:dyDescent="0.35">
      <c r="B42" s="51"/>
      <c r="C42" s="466" t="s">
        <v>44</v>
      </c>
      <c r="D42" s="467"/>
      <c r="G42" s="114" t="s">
        <v>45</v>
      </c>
      <c r="H42" s="466" t="s">
        <v>52</v>
      </c>
      <c r="I42" s="467"/>
      <c r="L42" s="466" t="s">
        <v>81</v>
      </c>
      <c r="M42" s="467"/>
      <c r="N42" s="25"/>
      <c r="T42" s="346"/>
    </row>
    <row r="43" spans="1:21" ht="14.5" thickBot="1" x14ac:dyDescent="0.35">
      <c r="A43" s="114" t="s">
        <v>394</v>
      </c>
      <c r="B43" s="115" t="s">
        <v>23</v>
      </c>
      <c r="C43" s="116" t="s">
        <v>24</v>
      </c>
      <c r="D43" s="116" t="s">
        <v>25</v>
      </c>
      <c r="E43" s="291" t="s">
        <v>26</v>
      </c>
      <c r="F43" s="291" t="s">
        <v>27</v>
      </c>
      <c r="G43" s="117" t="s">
        <v>73</v>
      </c>
      <c r="H43" s="291" t="s">
        <v>53</v>
      </c>
      <c r="I43" s="114" t="s">
        <v>36</v>
      </c>
      <c r="J43" s="292" t="s">
        <v>48</v>
      </c>
      <c r="K43" s="291" t="s">
        <v>31</v>
      </c>
      <c r="L43" s="114" t="s">
        <v>46</v>
      </c>
      <c r="M43" s="114" t="s">
        <v>34</v>
      </c>
      <c r="N43" s="114" t="s">
        <v>1</v>
      </c>
      <c r="O43" s="114" t="s">
        <v>74</v>
      </c>
      <c r="P43" s="266" t="s">
        <v>121</v>
      </c>
      <c r="T43" s="346"/>
    </row>
    <row r="44" spans="1:21" x14ac:dyDescent="0.3">
      <c r="A44" s="159">
        <v>968903</v>
      </c>
      <c r="B44" s="175" t="s">
        <v>504</v>
      </c>
      <c r="C44" s="171"/>
      <c r="D44" s="171"/>
      <c r="E44" s="195"/>
      <c r="F44" s="160">
        <f t="shared" ref="F44:F53" si="16">ABS(D44-C44)</f>
        <v>0</v>
      </c>
      <c r="G44" s="171"/>
      <c r="H44" s="163">
        <f>E44*P44/11.17</f>
        <v>0</v>
      </c>
      <c r="I44" s="163">
        <f>H44</f>
        <v>0</v>
      </c>
      <c r="J44" s="171" t="s">
        <v>42</v>
      </c>
      <c r="K44" s="178">
        <v>3</v>
      </c>
      <c r="L44" s="171"/>
      <c r="M44" s="171"/>
      <c r="N44" s="167">
        <f>$A$10</f>
        <v>44013</v>
      </c>
      <c r="O44" s="351" t="s">
        <v>505</v>
      </c>
      <c r="P44" s="267">
        <v>24</v>
      </c>
      <c r="R44" s="376"/>
      <c r="S44" s="364"/>
      <c r="T44" s="346"/>
    </row>
    <row r="45" spans="1:21" x14ac:dyDescent="0.3">
      <c r="A45" s="159">
        <f t="shared" ref="A45:A53" si="17">IF(NOT(ISBLANK(B45)),A44,"")</f>
        <v>968903</v>
      </c>
      <c r="B45" s="172" t="s">
        <v>534</v>
      </c>
      <c r="C45" s="173"/>
      <c r="D45" s="173"/>
      <c r="E45" s="174"/>
      <c r="F45" s="161">
        <f t="shared" ref="F45:F46" si="18">ABS(D45-C45)</f>
        <v>0</v>
      </c>
      <c r="G45" s="173"/>
      <c r="H45" s="164">
        <f>E45*P45/11.17</f>
        <v>0</v>
      </c>
      <c r="I45" s="164">
        <f t="shared" ref="I45:I46" si="19">H45</f>
        <v>0</v>
      </c>
      <c r="J45" s="173" t="s">
        <v>42</v>
      </c>
      <c r="K45" s="179">
        <v>3</v>
      </c>
      <c r="L45" s="173"/>
      <c r="M45" s="173"/>
      <c r="N45" s="168">
        <f t="shared" ref="N45:N46" si="20">IF(NOT(ISBLANK(B45)),$A$10,"")</f>
        <v>44013</v>
      </c>
      <c r="O45" s="179" t="s">
        <v>535</v>
      </c>
      <c r="P45" s="268">
        <v>30</v>
      </c>
      <c r="R45" s="25" t="s">
        <v>424</v>
      </c>
      <c r="T45" s="346"/>
    </row>
    <row r="46" spans="1:21" x14ac:dyDescent="0.3">
      <c r="A46" s="159" t="str">
        <f t="shared" si="17"/>
        <v/>
      </c>
      <c r="B46" s="172"/>
      <c r="C46" s="173"/>
      <c r="D46" s="173"/>
      <c r="E46" s="174"/>
      <c r="F46" s="161">
        <f t="shared" si="18"/>
        <v>0</v>
      </c>
      <c r="G46" s="173"/>
      <c r="H46" s="164">
        <f t="shared" ref="H46" si="21">E46*P46/15.1</f>
        <v>0</v>
      </c>
      <c r="I46" s="164">
        <f t="shared" si="19"/>
        <v>0</v>
      </c>
      <c r="J46" s="173" t="s">
        <v>42</v>
      </c>
      <c r="K46" s="179">
        <v>3</v>
      </c>
      <c r="L46" s="173"/>
      <c r="M46" s="173"/>
      <c r="N46" s="168" t="str">
        <f t="shared" si="20"/>
        <v/>
      </c>
      <c r="O46" s="179"/>
      <c r="P46" s="268"/>
      <c r="R46" s="25" t="s">
        <v>547</v>
      </c>
      <c r="T46" s="346"/>
    </row>
    <row r="47" spans="1:21" x14ac:dyDescent="0.3">
      <c r="A47" s="159" t="str">
        <f t="shared" si="17"/>
        <v/>
      </c>
      <c r="B47" s="316"/>
      <c r="C47" s="173"/>
      <c r="D47" s="173"/>
      <c r="E47" s="174"/>
      <c r="F47" s="161">
        <f t="shared" si="16"/>
        <v>0</v>
      </c>
      <c r="G47" s="173"/>
      <c r="H47" s="164">
        <f t="shared" ref="H47" si="22">E47*P47/15.1</f>
        <v>0</v>
      </c>
      <c r="I47" s="164">
        <f t="shared" ref="I47" si="23">H47</f>
        <v>0</v>
      </c>
      <c r="J47" s="173"/>
      <c r="K47" s="179"/>
      <c r="L47" s="173"/>
      <c r="M47" s="173"/>
      <c r="N47" s="168" t="str">
        <f t="shared" ref="N47:N53" si="24">IF(NOT(ISBLANK(B47)),$A$10,"")</f>
        <v/>
      </c>
      <c r="O47" s="179"/>
      <c r="P47" s="268"/>
      <c r="T47" s="346"/>
    </row>
    <row r="48" spans="1:21" x14ac:dyDescent="0.3">
      <c r="A48" s="159" t="str">
        <f t="shared" si="17"/>
        <v/>
      </c>
      <c r="B48" s="172"/>
      <c r="C48" s="173"/>
      <c r="D48" s="173"/>
      <c r="E48" s="174"/>
      <c r="F48" s="161">
        <f t="shared" si="16"/>
        <v>0</v>
      </c>
      <c r="G48" s="173"/>
      <c r="H48" s="164">
        <f t="shared" ref="H48:H53" si="25">E48*P48/15.1</f>
        <v>0</v>
      </c>
      <c r="I48" s="164">
        <f t="shared" ref="I48:I52" si="26">H48</f>
        <v>0</v>
      </c>
      <c r="J48" s="173"/>
      <c r="K48" s="179"/>
      <c r="L48" s="173"/>
      <c r="M48" s="173"/>
      <c r="N48" s="168" t="str">
        <f t="shared" si="24"/>
        <v/>
      </c>
      <c r="O48" s="179"/>
      <c r="P48" s="268"/>
      <c r="R48" s="381"/>
      <c r="T48" s="346"/>
    </row>
    <row r="49" spans="1:20" x14ac:dyDescent="0.3">
      <c r="A49" s="159" t="str">
        <f t="shared" si="17"/>
        <v/>
      </c>
      <c r="B49" s="175"/>
      <c r="C49" s="173"/>
      <c r="D49" s="173"/>
      <c r="E49" s="174"/>
      <c r="F49" s="161">
        <f t="shared" si="16"/>
        <v>0</v>
      </c>
      <c r="G49" s="173"/>
      <c r="H49" s="164">
        <f t="shared" si="25"/>
        <v>0</v>
      </c>
      <c r="I49" s="164">
        <f t="shared" si="26"/>
        <v>0</v>
      </c>
      <c r="J49" s="173"/>
      <c r="K49" s="179"/>
      <c r="L49" s="173"/>
      <c r="M49" s="173"/>
      <c r="N49" s="168" t="str">
        <f>IF(NOT(ISBLANK(B49)),$A$10,"")</f>
        <v/>
      </c>
      <c r="O49" s="179"/>
      <c r="P49" s="268"/>
      <c r="Q49" s="374"/>
      <c r="T49" s="346"/>
    </row>
    <row r="50" spans="1:20" x14ac:dyDescent="0.3">
      <c r="A50" s="159" t="str">
        <f t="shared" si="17"/>
        <v/>
      </c>
      <c r="B50" s="175"/>
      <c r="C50" s="173"/>
      <c r="D50" s="173"/>
      <c r="E50" s="174"/>
      <c r="F50" s="161">
        <f t="shared" si="16"/>
        <v>0</v>
      </c>
      <c r="G50" s="173"/>
      <c r="H50" s="164">
        <f t="shared" si="25"/>
        <v>0</v>
      </c>
      <c r="I50" s="164">
        <f t="shared" si="26"/>
        <v>0</v>
      </c>
      <c r="J50" s="173"/>
      <c r="K50" s="179"/>
      <c r="L50" s="173"/>
      <c r="M50" s="173"/>
      <c r="N50" s="168" t="str">
        <f>IF(NOT(ISBLANK(B50)),$A$10,"")</f>
        <v/>
      </c>
      <c r="O50" s="179"/>
      <c r="P50" s="268"/>
      <c r="T50" s="346"/>
    </row>
    <row r="51" spans="1:20" x14ac:dyDescent="0.3">
      <c r="A51" s="159" t="str">
        <f t="shared" si="17"/>
        <v/>
      </c>
      <c r="B51" s="175"/>
      <c r="C51" s="173"/>
      <c r="D51" s="173"/>
      <c r="E51" s="174"/>
      <c r="F51" s="161">
        <f t="shared" si="16"/>
        <v>0</v>
      </c>
      <c r="G51" s="173"/>
      <c r="H51" s="164">
        <f t="shared" si="25"/>
        <v>0</v>
      </c>
      <c r="I51" s="164">
        <f t="shared" si="26"/>
        <v>0</v>
      </c>
      <c r="J51" s="173"/>
      <c r="K51" s="179"/>
      <c r="L51" s="173"/>
      <c r="M51" s="173"/>
      <c r="N51" s="168" t="str">
        <f>IF(NOT(ISBLANK(B51)),$A$10,"")</f>
        <v/>
      </c>
      <c r="O51" s="179"/>
      <c r="P51" s="268"/>
      <c r="T51" s="346"/>
    </row>
    <row r="52" spans="1:20" x14ac:dyDescent="0.3">
      <c r="A52" s="159" t="str">
        <f t="shared" si="17"/>
        <v/>
      </c>
      <c r="B52" s="175"/>
      <c r="C52" s="173"/>
      <c r="D52" s="173"/>
      <c r="E52" s="174"/>
      <c r="F52" s="161">
        <f t="shared" si="16"/>
        <v>0</v>
      </c>
      <c r="G52" s="173"/>
      <c r="H52" s="164">
        <f t="shared" si="25"/>
        <v>0</v>
      </c>
      <c r="I52" s="164">
        <f t="shared" si="26"/>
        <v>0</v>
      </c>
      <c r="J52" s="173"/>
      <c r="K52" s="179"/>
      <c r="L52" s="173"/>
      <c r="M52" s="173"/>
      <c r="N52" s="168" t="str">
        <f t="shared" si="24"/>
        <v/>
      </c>
      <c r="O52" s="179"/>
      <c r="P52" s="268"/>
      <c r="T52" s="346"/>
    </row>
    <row r="53" spans="1:20" ht="14.5" thickBot="1" x14ac:dyDescent="0.35">
      <c r="A53" s="159" t="str">
        <f t="shared" si="17"/>
        <v/>
      </c>
      <c r="B53" s="181"/>
      <c r="C53" s="176"/>
      <c r="D53" s="176"/>
      <c r="E53" s="177"/>
      <c r="F53" s="162">
        <f t="shared" si="16"/>
        <v>0</v>
      </c>
      <c r="G53" s="173"/>
      <c r="H53" s="270">
        <f t="shared" si="25"/>
        <v>0</v>
      </c>
      <c r="I53" s="165">
        <f>H53</f>
        <v>0</v>
      </c>
      <c r="J53" s="176"/>
      <c r="K53" s="180"/>
      <c r="L53" s="176"/>
      <c r="M53" s="176"/>
      <c r="N53" s="169" t="str">
        <f t="shared" si="24"/>
        <v/>
      </c>
      <c r="O53" s="349"/>
      <c r="P53" s="350"/>
      <c r="T53" s="346"/>
    </row>
    <row r="54" spans="1:20" ht="16" thickBot="1" x14ac:dyDescent="0.4">
      <c r="A54" s="127" t="s">
        <v>49</v>
      </c>
      <c r="B54" s="128"/>
      <c r="C54" s="128"/>
      <c r="D54" s="128"/>
      <c r="E54" s="128"/>
      <c r="F54" s="128"/>
      <c r="G54" s="129"/>
      <c r="H54" s="170">
        <f>SUM(H44:H53)</f>
        <v>0</v>
      </c>
      <c r="I54" s="166">
        <f>SUM(I44:I53)</f>
        <v>0</v>
      </c>
      <c r="J54" s="468"/>
      <c r="K54" s="469"/>
      <c r="L54" s="469"/>
      <c r="M54" s="469"/>
      <c r="N54" s="469"/>
      <c r="O54" s="469"/>
      <c r="P54" s="470"/>
      <c r="Q54" s="25" t="s">
        <v>243</v>
      </c>
      <c r="R54" s="381"/>
      <c r="S54" s="345" t="e">
        <f t="shared" si="14"/>
        <v>#DIV/0!</v>
      </c>
      <c r="T54" s="346">
        <f t="shared" si="15"/>
        <v>0</v>
      </c>
    </row>
    <row r="55" spans="1:20" ht="14.5" thickBot="1" x14ac:dyDescent="0.35">
      <c r="A55" s="122"/>
      <c r="B55" s="122"/>
      <c r="C55" s="123"/>
      <c r="D55" s="123"/>
      <c r="E55" s="123"/>
      <c r="F55" s="123"/>
      <c r="G55" s="123"/>
      <c r="H55" s="123"/>
      <c r="I55" s="123"/>
      <c r="J55" s="123"/>
      <c r="K55" s="123"/>
      <c r="L55" s="123"/>
      <c r="M55" s="123"/>
      <c r="O55" s="122"/>
      <c r="T55" s="346"/>
    </row>
    <row r="56" spans="1:20" ht="14.5" thickBot="1" x14ac:dyDescent="0.35">
      <c r="B56" s="51"/>
      <c r="C56" s="466" t="s">
        <v>44</v>
      </c>
      <c r="D56" s="467"/>
      <c r="G56" s="114" t="s">
        <v>45</v>
      </c>
      <c r="H56" s="466" t="s">
        <v>52</v>
      </c>
      <c r="I56" s="467"/>
      <c r="L56" s="466" t="s">
        <v>81</v>
      </c>
      <c r="M56" s="467"/>
      <c r="N56" s="25"/>
      <c r="T56" s="346"/>
    </row>
    <row r="57" spans="1:20" ht="14.5" thickBot="1" x14ac:dyDescent="0.35">
      <c r="A57" s="114" t="s">
        <v>394</v>
      </c>
      <c r="B57" s="115" t="s">
        <v>23</v>
      </c>
      <c r="C57" s="116" t="s">
        <v>24</v>
      </c>
      <c r="D57" s="116" t="s">
        <v>25</v>
      </c>
      <c r="E57" s="291" t="s">
        <v>26</v>
      </c>
      <c r="F57" s="291" t="s">
        <v>27</v>
      </c>
      <c r="G57" s="117" t="s">
        <v>73</v>
      </c>
      <c r="H57" s="291" t="s">
        <v>53</v>
      </c>
      <c r="I57" s="114" t="s">
        <v>36</v>
      </c>
      <c r="J57" s="292" t="s">
        <v>48</v>
      </c>
      <c r="K57" s="291" t="s">
        <v>31</v>
      </c>
      <c r="L57" s="114" t="s">
        <v>46</v>
      </c>
      <c r="M57" s="114" t="s">
        <v>34</v>
      </c>
      <c r="N57" s="114" t="s">
        <v>1</v>
      </c>
      <c r="O57" s="114" t="s">
        <v>74</v>
      </c>
      <c r="P57" s="266" t="s">
        <v>121</v>
      </c>
      <c r="T57" s="346"/>
    </row>
    <row r="58" spans="1:20" x14ac:dyDescent="0.3">
      <c r="A58" s="159">
        <v>968904</v>
      </c>
      <c r="B58" s="175"/>
      <c r="C58" s="171"/>
      <c r="D58" s="171"/>
      <c r="E58" s="195"/>
      <c r="F58" s="160">
        <f t="shared" ref="F58:F67" si="27">ABS(D58-C58)</f>
        <v>0</v>
      </c>
      <c r="G58" s="171"/>
      <c r="H58" s="163">
        <f t="shared" ref="H58:H67" si="28">E58*P58/15.1</f>
        <v>0</v>
      </c>
      <c r="I58" s="163">
        <f>H58</f>
        <v>0</v>
      </c>
      <c r="J58" s="171"/>
      <c r="K58" s="178"/>
      <c r="L58" s="171"/>
      <c r="M58" s="171"/>
      <c r="N58" s="167">
        <f>$A$10</f>
        <v>44013</v>
      </c>
      <c r="O58" s="178"/>
      <c r="P58" s="267"/>
      <c r="R58" s="358"/>
      <c r="T58" s="346"/>
    </row>
    <row r="59" spans="1:20" x14ac:dyDescent="0.3">
      <c r="A59" s="159" t="str">
        <f t="shared" ref="A59:A63" si="29">IF(NOT(ISBLANK(B59)),A58,"")</f>
        <v/>
      </c>
      <c r="B59" s="316"/>
      <c r="C59" s="173"/>
      <c r="D59" s="173"/>
      <c r="E59" s="174"/>
      <c r="F59" s="194">
        <f t="shared" si="27"/>
        <v>0</v>
      </c>
      <c r="G59" s="173"/>
      <c r="H59" s="164">
        <f>E59*P59/15.1</f>
        <v>0</v>
      </c>
      <c r="I59" s="164">
        <f>H59</f>
        <v>0</v>
      </c>
      <c r="J59" s="173"/>
      <c r="K59" s="179"/>
      <c r="L59" s="173"/>
      <c r="M59" s="173"/>
      <c r="N59" s="168" t="str">
        <f t="shared" ref="N59:N67" si="30">IF(NOT(ISBLANK(B59)),$A$10,"")</f>
        <v/>
      </c>
      <c r="O59" s="179"/>
      <c r="P59" s="268"/>
      <c r="R59" s="358"/>
      <c r="T59" s="346"/>
    </row>
    <row r="60" spans="1:20" x14ac:dyDescent="0.3">
      <c r="A60" s="159" t="str">
        <f t="shared" si="29"/>
        <v/>
      </c>
      <c r="B60" s="175"/>
      <c r="C60" s="173"/>
      <c r="D60" s="173"/>
      <c r="E60" s="174"/>
      <c r="F60" s="194">
        <f t="shared" si="27"/>
        <v>0</v>
      </c>
      <c r="G60" s="173"/>
      <c r="H60" s="164">
        <f t="shared" ref="H60:H66" si="31">E60*P60/15.1</f>
        <v>0</v>
      </c>
      <c r="I60" s="164">
        <f t="shared" ref="I60:I66" si="32">H60</f>
        <v>0</v>
      </c>
      <c r="J60" s="173"/>
      <c r="K60" s="179"/>
      <c r="L60" s="173"/>
      <c r="M60" s="173"/>
      <c r="N60" s="168" t="str">
        <f t="shared" si="30"/>
        <v/>
      </c>
      <c r="O60" s="179"/>
      <c r="P60" s="268"/>
      <c r="T60" s="346"/>
    </row>
    <row r="61" spans="1:20" x14ac:dyDescent="0.3">
      <c r="A61" s="159" t="str">
        <f t="shared" si="29"/>
        <v/>
      </c>
      <c r="B61" s="175"/>
      <c r="C61" s="173"/>
      <c r="D61" s="173"/>
      <c r="E61" s="174"/>
      <c r="F61" s="194">
        <f t="shared" si="27"/>
        <v>0</v>
      </c>
      <c r="G61" s="173"/>
      <c r="H61" s="164">
        <f t="shared" si="31"/>
        <v>0</v>
      </c>
      <c r="I61" s="164">
        <f t="shared" si="32"/>
        <v>0</v>
      </c>
      <c r="J61" s="173"/>
      <c r="K61" s="179"/>
      <c r="L61" s="173"/>
      <c r="M61" s="173"/>
      <c r="N61" s="168" t="str">
        <f t="shared" si="30"/>
        <v/>
      </c>
      <c r="O61" s="179"/>
      <c r="P61" s="268"/>
      <c r="Q61" s="364"/>
      <c r="R61" s="358"/>
      <c r="T61" s="346"/>
    </row>
    <row r="62" spans="1:20" x14ac:dyDescent="0.3">
      <c r="A62" s="159" t="str">
        <f t="shared" si="29"/>
        <v/>
      </c>
      <c r="B62" s="415"/>
      <c r="C62" s="173"/>
      <c r="D62" s="173"/>
      <c r="E62" s="174"/>
      <c r="F62" s="161">
        <f t="shared" si="27"/>
        <v>0</v>
      </c>
      <c r="G62" s="173"/>
      <c r="H62" s="164">
        <f t="shared" si="31"/>
        <v>0</v>
      </c>
      <c r="I62" s="164">
        <f t="shared" si="32"/>
        <v>0</v>
      </c>
      <c r="J62" s="173"/>
      <c r="K62" s="179"/>
      <c r="L62" s="173"/>
      <c r="M62" s="173"/>
      <c r="N62" s="168" t="str">
        <f t="shared" si="30"/>
        <v/>
      </c>
      <c r="O62" s="179"/>
      <c r="P62" s="268"/>
      <c r="Q62" s="374"/>
      <c r="T62" s="346"/>
    </row>
    <row r="63" spans="1:20" x14ac:dyDescent="0.3">
      <c r="A63" s="159" t="str">
        <f t="shared" si="29"/>
        <v/>
      </c>
      <c r="B63" s="415"/>
      <c r="C63" s="173"/>
      <c r="D63" s="173"/>
      <c r="E63" s="174"/>
      <c r="F63" s="161">
        <f t="shared" si="27"/>
        <v>0</v>
      </c>
      <c r="G63" s="173"/>
      <c r="H63" s="164">
        <f t="shared" si="31"/>
        <v>0</v>
      </c>
      <c r="I63" s="164">
        <f t="shared" si="32"/>
        <v>0</v>
      </c>
      <c r="J63" s="173"/>
      <c r="K63" s="179"/>
      <c r="L63" s="173"/>
      <c r="M63" s="173"/>
      <c r="N63" s="168" t="str">
        <f>IF(NOT(ISBLANK(B63)),$A$10,"")</f>
        <v/>
      </c>
      <c r="O63" s="179"/>
      <c r="P63" s="268"/>
      <c r="T63" s="346"/>
    </row>
    <row r="64" spans="1:20" x14ac:dyDescent="0.3">
      <c r="A64" s="159" t="str">
        <f>IF(NOT(ISBLANK(B64)),A63,"")</f>
        <v/>
      </c>
      <c r="B64" s="415"/>
      <c r="C64" s="173"/>
      <c r="D64" s="173"/>
      <c r="E64" s="174"/>
      <c r="F64" s="161">
        <f t="shared" si="27"/>
        <v>0</v>
      </c>
      <c r="G64" s="173"/>
      <c r="H64" s="164">
        <f t="shared" si="31"/>
        <v>0</v>
      </c>
      <c r="I64" s="164">
        <f t="shared" si="32"/>
        <v>0</v>
      </c>
      <c r="J64" s="173"/>
      <c r="K64" s="179"/>
      <c r="L64" s="173"/>
      <c r="M64" s="173"/>
      <c r="N64" s="168" t="str">
        <f>IF(NOT(ISBLANK(B64)),$A$10,"")</f>
        <v/>
      </c>
      <c r="O64" s="179"/>
      <c r="P64" s="268"/>
    </row>
    <row r="65" spans="1:20" x14ac:dyDescent="0.3">
      <c r="A65" s="159" t="str">
        <f t="shared" ref="A65:A67" si="33">IF(NOT(ISBLANK(B65)),A64,"")</f>
        <v/>
      </c>
      <c r="B65" s="415"/>
      <c r="C65" s="173"/>
      <c r="D65" s="173"/>
      <c r="E65" s="174"/>
      <c r="F65" s="161">
        <f t="shared" si="27"/>
        <v>0</v>
      </c>
      <c r="G65" s="173"/>
      <c r="H65" s="164">
        <f t="shared" si="31"/>
        <v>0</v>
      </c>
      <c r="I65" s="164">
        <f t="shared" si="32"/>
        <v>0</v>
      </c>
      <c r="J65" s="173"/>
      <c r="K65" s="179"/>
      <c r="L65" s="173"/>
      <c r="M65" s="173"/>
      <c r="N65" s="168" t="str">
        <f>IF(NOT(ISBLANK(B65)),$A$10,"")</f>
        <v/>
      </c>
      <c r="O65" s="179"/>
      <c r="P65" s="268"/>
      <c r="Q65" s="374"/>
      <c r="T65" s="346"/>
    </row>
    <row r="66" spans="1:20" x14ac:dyDescent="0.3">
      <c r="A66" s="159" t="str">
        <f t="shared" si="33"/>
        <v/>
      </c>
      <c r="B66" s="175"/>
      <c r="C66" s="173"/>
      <c r="D66" s="173"/>
      <c r="E66" s="174"/>
      <c r="F66" s="161">
        <f t="shared" si="27"/>
        <v>0</v>
      </c>
      <c r="G66" s="173"/>
      <c r="H66" s="164">
        <f t="shared" si="31"/>
        <v>0</v>
      </c>
      <c r="I66" s="164">
        <f t="shared" si="32"/>
        <v>0</v>
      </c>
      <c r="J66" s="173"/>
      <c r="K66" s="179"/>
      <c r="L66" s="173"/>
      <c r="M66" s="173"/>
      <c r="N66" s="168" t="str">
        <f t="shared" si="30"/>
        <v/>
      </c>
      <c r="O66" s="179"/>
      <c r="P66" s="268"/>
      <c r="T66" s="346"/>
    </row>
    <row r="67" spans="1:20" ht="14.5" thickBot="1" x14ac:dyDescent="0.35">
      <c r="A67" s="159" t="str">
        <f t="shared" si="33"/>
        <v/>
      </c>
      <c r="B67" s="181"/>
      <c r="C67" s="176"/>
      <c r="D67" s="176"/>
      <c r="E67" s="177"/>
      <c r="F67" s="162">
        <f t="shared" si="27"/>
        <v>0</v>
      </c>
      <c r="G67" s="173"/>
      <c r="H67" s="270">
        <f t="shared" si="28"/>
        <v>0</v>
      </c>
      <c r="I67" s="165">
        <f>H67</f>
        <v>0</v>
      </c>
      <c r="J67" s="176"/>
      <c r="K67" s="180"/>
      <c r="L67" s="176"/>
      <c r="M67" s="176"/>
      <c r="N67" s="169" t="str">
        <f t="shared" si="30"/>
        <v/>
      </c>
      <c r="O67" s="180"/>
      <c r="P67" s="269"/>
      <c r="T67" s="346"/>
    </row>
    <row r="68" spans="1:20" ht="16" thickBot="1" x14ac:dyDescent="0.4">
      <c r="A68" s="127" t="s">
        <v>49</v>
      </c>
      <c r="B68" s="128"/>
      <c r="C68" s="128"/>
      <c r="D68" s="128"/>
      <c r="E68" s="128"/>
      <c r="F68" s="128"/>
      <c r="G68" s="129"/>
      <c r="H68" s="170">
        <f>SUM(H58:H67)</f>
        <v>0</v>
      </c>
      <c r="I68" s="166">
        <f>SUM(I58:I67)</f>
        <v>0</v>
      </c>
      <c r="J68" s="468"/>
      <c r="K68" s="469"/>
      <c r="L68" s="469"/>
      <c r="M68" s="469"/>
      <c r="N68" s="469"/>
      <c r="O68" s="469"/>
      <c r="P68" s="470"/>
      <c r="Q68" s="25" t="s">
        <v>243</v>
      </c>
      <c r="R68" s="364"/>
      <c r="S68" s="417" t="e">
        <f t="shared" si="14"/>
        <v>#DIV/0!</v>
      </c>
      <c r="T68" s="418">
        <f t="shared" si="15"/>
        <v>0</v>
      </c>
    </row>
    <row r="69" spans="1:20" ht="14.5" thickBot="1" x14ac:dyDescent="0.35">
      <c r="R69" s="364"/>
      <c r="T69" s="346"/>
    </row>
    <row r="70" spans="1:20" ht="14.5" thickBot="1" x14ac:dyDescent="0.35">
      <c r="B70" s="51"/>
      <c r="C70" s="466" t="s">
        <v>44</v>
      </c>
      <c r="D70" s="467"/>
      <c r="G70" s="114" t="s">
        <v>45</v>
      </c>
      <c r="H70" s="466" t="s">
        <v>52</v>
      </c>
      <c r="I70" s="467"/>
      <c r="L70" s="466" t="s">
        <v>81</v>
      </c>
      <c r="M70" s="467"/>
      <c r="N70" s="25"/>
      <c r="T70" s="346"/>
    </row>
    <row r="71" spans="1:20" ht="14.5" thickBot="1" x14ac:dyDescent="0.35">
      <c r="A71" s="114" t="s">
        <v>456</v>
      </c>
      <c r="B71" s="115" t="s">
        <v>23</v>
      </c>
      <c r="C71" s="116" t="s">
        <v>24</v>
      </c>
      <c r="D71" s="116" t="s">
        <v>25</v>
      </c>
      <c r="E71" s="342" t="s">
        <v>26</v>
      </c>
      <c r="F71" s="342" t="s">
        <v>27</v>
      </c>
      <c r="G71" s="117" t="s">
        <v>73</v>
      </c>
      <c r="H71" s="342" t="s">
        <v>53</v>
      </c>
      <c r="I71" s="114" t="s">
        <v>36</v>
      </c>
      <c r="J71" s="343" t="s">
        <v>48</v>
      </c>
      <c r="K71" s="342" t="s">
        <v>31</v>
      </c>
      <c r="L71" s="114" t="s">
        <v>46</v>
      </c>
      <c r="M71" s="114" t="s">
        <v>34</v>
      </c>
      <c r="N71" s="114" t="s">
        <v>1</v>
      </c>
      <c r="O71" s="114" t="s">
        <v>74</v>
      </c>
      <c r="P71" s="266" t="s">
        <v>121</v>
      </c>
      <c r="T71" s="346"/>
    </row>
    <row r="72" spans="1:20" x14ac:dyDescent="0.3">
      <c r="A72" s="159" t="s">
        <v>422</v>
      </c>
      <c r="B72" s="175" t="s">
        <v>536</v>
      </c>
      <c r="C72" s="171"/>
      <c r="D72" s="171"/>
      <c r="E72" s="195"/>
      <c r="F72" s="160">
        <f t="shared" ref="F72:F81" si="34">ABS(D72-C72)</f>
        <v>0</v>
      </c>
      <c r="G72" s="171"/>
      <c r="H72" s="163">
        <f t="shared" ref="H72:H81" si="35">E72*P72/15.1</f>
        <v>0</v>
      </c>
      <c r="I72" s="163">
        <f>H72</f>
        <v>0</v>
      </c>
      <c r="J72" s="171"/>
      <c r="K72" s="178"/>
      <c r="L72" s="171"/>
      <c r="M72" s="171"/>
      <c r="N72" s="167">
        <f>$A$10</f>
        <v>44013</v>
      </c>
      <c r="O72" s="351"/>
      <c r="P72" s="267"/>
      <c r="T72" s="346"/>
    </row>
    <row r="73" spans="1:20" x14ac:dyDescent="0.3">
      <c r="A73" s="159" t="str">
        <f t="shared" ref="A73:A81" si="36">IF(NOT(ISBLANK(B73)),A72,"")</f>
        <v/>
      </c>
      <c r="B73" s="175"/>
      <c r="C73" s="173"/>
      <c r="D73" s="173"/>
      <c r="E73" s="174"/>
      <c r="F73" s="194">
        <f t="shared" si="34"/>
        <v>0</v>
      </c>
      <c r="G73" s="173"/>
      <c r="H73" s="164">
        <f t="shared" si="35"/>
        <v>0</v>
      </c>
      <c r="I73" s="164">
        <f>H73</f>
        <v>0</v>
      </c>
      <c r="J73" s="173"/>
      <c r="K73" s="179"/>
      <c r="L73" s="173"/>
      <c r="M73" s="173"/>
      <c r="N73" s="168" t="str">
        <f t="shared" ref="N73:N76" si="37">IF(NOT(ISBLANK(B73)),$A$10,"")</f>
        <v/>
      </c>
      <c r="O73" s="179"/>
      <c r="P73" s="268"/>
    </row>
    <row r="74" spans="1:20" x14ac:dyDescent="0.3">
      <c r="A74" s="159" t="str">
        <f t="shared" si="36"/>
        <v/>
      </c>
      <c r="B74" s="172"/>
      <c r="C74" s="173"/>
      <c r="D74" s="173"/>
      <c r="E74" s="196"/>
      <c r="F74" s="161">
        <f t="shared" si="34"/>
        <v>0</v>
      </c>
      <c r="G74" s="173"/>
      <c r="H74" s="164">
        <f t="shared" si="35"/>
        <v>0</v>
      </c>
      <c r="I74" s="164">
        <f t="shared" ref="I74:I80" si="38">H74</f>
        <v>0</v>
      </c>
      <c r="J74" s="173"/>
      <c r="K74" s="179"/>
      <c r="L74" s="173"/>
      <c r="M74" s="173"/>
      <c r="N74" s="168" t="str">
        <f t="shared" si="37"/>
        <v/>
      </c>
      <c r="O74" s="179"/>
      <c r="P74" s="268"/>
    </row>
    <row r="75" spans="1:20" x14ac:dyDescent="0.3">
      <c r="A75" s="159" t="str">
        <f t="shared" si="36"/>
        <v/>
      </c>
      <c r="B75" s="175"/>
      <c r="C75" s="173"/>
      <c r="D75" s="173"/>
      <c r="E75" s="174"/>
      <c r="F75" s="161">
        <f t="shared" si="34"/>
        <v>0</v>
      </c>
      <c r="G75" s="173"/>
      <c r="H75" s="164">
        <f t="shared" si="35"/>
        <v>0</v>
      </c>
      <c r="I75" s="164">
        <f t="shared" si="38"/>
        <v>0</v>
      </c>
      <c r="J75" s="173"/>
      <c r="K75" s="179"/>
      <c r="L75" s="173"/>
      <c r="M75" s="173"/>
      <c r="N75" s="168" t="str">
        <f t="shared" si="37"/>
        <v/>
      </c>
      <c r="O75" s="179"/>
      <c r="P75" s="268"/>
    </row>
    <row r="76" spans="1:20" x14ac:dyDescent="0.3">
      <c r="A76" s="159" t="str">
        <f t="shared" si="36"/>
        <v/>
      </c>
      <c r="B76" s="175"/>
      <c r="C76" s="173"/>
      <c r="D76" s="173"/>
      <c r="E76" s="174"/>
      <c r="F76" s="161">
        <f t="shared" si="34"/>
        <v>0</v>
      </c>
      <c r="G76" s="173"/>
      <c r="H76" s="164">
        <f t="shared" si="35"/>
        <v>0</v>
      </c>
      <c r="I76" s="164">
        <f t="shared" si="38"/>
        <v>0</v>
      </c>
      <c r="J76" s="173"/>
      <c r="K76" s="179"/>
      <c r="L76" s="173"/>
      <c r="M76" s="173"/>
      <c r="N76" s="168" t="str">
        <f t="shared" si="37"/>
        <v/>
      </c>
      <c r="O76" s="179"/>
      <c r="P76" s="268"/>
      <c r="T76" s="346"/>
    </row>
    <row r="77" spans="1:20" x14ac:dyDescent="0.3">
      <c r="A77" s="159" t="str">
        <f t="shared" si="36"/>
        <v/>
      </c>
      <c r="B77" s="175"/>
      <c r="C77" s="173"/>
      <c r="D77" s="173"/>
      <c r="E77" s="174"/>
      <c r="F77" s="161">
        <f t="shared" si="34"/>
        <v>0</v>
      </c>
      <c r="G77" s="173"/>
      <c r="H77" s="164">
        <f t="shared" si="35"/>
        <v>0</v>
      </c>
      <c r="I77" s="164">
        <f t="shared" si="38"/>
        <v>0</v>
      </c>
      <c r="J77" s="173"/>
      <c r="K77" s="179"/>
      <c r="L77" s="173"/>
      <c r="M77" s="173"/>
      <c r="N77" s="168" t="str">
        <f>IF(NOT(ISBLANK(B77)),$A$10,"")</f>
        <v/>
      </c>
      <c r="O77" s="179"/>
      <c r="P77" s="268"/>
      <c r="R77" s="25" t="s">
        <v>323</v>
      </c>
      <c r="T77" s="346">
        <f>H82+H68+H54+H40+H26</f>
        <v>3430.3708609271521</v>
      </c>
    </row>
    <row r="78" spans="1:20" x14ac:dyDescent="0.3">
      <c r="A78" s="159" t="str">
        <f t="shared" si="36"/>
        <v/>
      </c>
      <c r="B78" s="175"/>
      <c r="C78" s="173"/>
      <c r="D78" s="173"/>
      <c r="E78" s="174"/>
      <c r="F78" s="161">
        <f t="shared" si="34"/>
        <v>0</v>
      </c>
      <c r="G78" s="173"/>
      <c r="H78" s="164">
        <f t="shared" si="35"/>
        <v>0</v>
      </c>
      <c r="I78" s="164">
        <f t="shared" si="38"/>
        <v>0</v>
      </c>
      <c r="J78" s="173"/>
      <c r="K78" s="179"/>
      <c r="L78" s="173"/>
      <c r="M78" s="173"/>
      <c r="N78" s="168" t="str">
        <f>IF(NOT(ISBLANK(B78)),$A$10,"")</f>
        <v/>
      </c>
      <c r="O78" s="179"/>
      <c r="P78" s="268"/>
      <c r="R78" s="25" t="s">
        <v>322</v>
      </c>
      <c r="T78" s="25">
        <f>R82+R68+R54+R40+R26</f>
        <v>0</v>
      </c>
    </row>
    <row r="79" spans="1:20" x14ac:dyDescent="0.3">
      <c r="A79" s="159" t="str">
        <f t="shared" si="36"/>
        <v/>
      </c>
      <c r="B79" s="175"/>
      <c r="C79" s="173"/>
      <c r="D79" s="173"/>
      <c r="E79" s="174"/>
      <c r="F79" s="161">
        <f t="shared" si="34"/>
        <v>0</v>
      </c>
      <c r="G79" s="173"/>
      <c r="H79" s="164">
        <f t="shared" si="35"/>
        <v>0</v>
      </c>
      <c r="I79" s="164">
        <f t="shared" si="38"/>
        <v>0</v>
      </c>
      <c r="J79" s="173"/>
      <c r="K79" s="179"/>
      <c r="L79" s="173"/>
      <c r="M79" s="173"/>
      <c r="N79" s="168" t="str">
        <f>IF(NOT(ISBLANK(B79)),$A$10,"")</f>
        <v/>
      </c>
      <c r="O79" s="179"/>
      <c r="P79" s="268"/>
      <c r="R79" s="359" t="s">
        <v>324</v>
      </c>
      <c r="S79" s="360"/>
      <c r="T79" s="361">
        <f>T78-T77</f>
        <v>-3430.3708609271521</v>
      </c>
    </row>
    <row r="80" spans="1:20" x14ac:dyDescent="0.3">
      <c r="A80" s="159" t="str">
        <f t="shared" si="36"/>
        <v/>
      </c>
      <c r="B80" s="175"/>
      <c r="C80" s="173"/>
      <c r="D80" s="173"/>
      <c r="E80" s="174"/>
      <c r="F80" s="161">
        <f t="shared" si="34"/>
        <v>0</v>
      </c>
      <c r="G80" s="173"/>
      <c r="H80" s="164">
        <f t="shared" si="35"/>
        <v>0</v>
      </c>
      <c r="I80" s="164">
        <f t="shared" si="38"/>
        <v>0</v>
      </c>
      <c r="J80" s="173"/>
      <c r="K80" s="179"/>
      <c r="L80" s="173"/>
      <c r="M80" s="173"/>
      <c r="N80" s="168" t="str">
        <f t="shared" ref="N80:N81" si="39">IF(NOT(ISBLANK(B80)),$A$10,"")</f>
        <v/>
      </c>
      <c r="O80" s="179"/>
      <c r="P80" s="268"/>
      <c r="T80" s="346"/>
    </row>
    <row r="81" spans="1:24" ht="14.5" thickBot="1" x14ac:dyDescent="0.35">
      <c r="A81" s="159" t="str">
        <f t="shared" si="36"/>
        <v/>
      </c>
      <c r="B81" s="181"/>
      <c r="C81" s="176"/>
      <c r="D81" s="176"/>
      <c r="E81" s="177"/>
      <c r="F81" s="162">
        <f t="shared" si="34"/>
        <v>0</v>
      </c>
      <c r="G81" s="173"/>
      <c r="H81" s="270">
        <f t="shared" si="35"/>
        <v>0</v>
      </c>
      <c r="I81" s="165">
        <f>H81</f>
        <v>0</v>
      </c>
      <c r="J81" s="176"/>
      <c r="K81" s="180"/>
      <c r="L81" s="176"/>
      <c r="M81" s="176"/>
      <c r="N81" s="169" t="str">
        <f t="shared" si="39"/>
        <v/>
      </c>
      <c r="O81" s="180"/>
      <c r="P81" s="269"/>
      <c r="T81" s="346"/>
    </row>
    <row r="82" spans="1:24" ht="16" thickBot="1" x14ac:dyDescent="0.4">
      <c r="A82" s="127" t="s">
        <v>49</v>
      </c>
      <c r="B82" s="128"/>
      <c r="C82" s="128"/>
      <c r="D82" s="128"/>
      <c r="E82" s="128"/>
      <c r="F82" s="128"/>
      <c r="G82" s="129"/>
      <c r="H82" s="170">
        <f>SUM(H72:H81)</f>
        <v>0</v>
      </c>
      <c r="I82" s="166">
        <f>SUM(I72:I81)</f>
        <v>0</v>
      </c>
      <c r="J82" s="468"/>
      <c r="K82" s="469"/>
      <c r="L82" s="469"/>
      <c r="M82" s="469"/>
      <c r="N82" s="469"/>
      <c r="O82" s="469"/>
      <c r="P82" s="470"/>
      <c r="Q82" s="25" t="s">
        <v>243</v>
      </c>
      <c r="S82" s="345" t="e">
        <f t="shared" si="14"/>
        <v>#DIV/0!</v>
      </c>
      <c r="T82" s="346">
        <f t="shared" si="15"/>
        <v>0</v>
      </c>
    </row>
    <row r="83" spans="1:24" ht="14.5" thickBot="1" x14ac:dyDescent="0.35"/>
    <row r="84" spans="1:24" ht="14.5" thickBot="1" x14ac:dyDescent="0.35">
      <c r="B84" s="51"/>
      <c r="C84" s="409" t="s">
        <v>44</v>
      </c>
      <c r="D84" s="410"/>
      <c r="G84" s="114" t="s">
        <v>45</v>
      </c>
      <c r="H84" s="409" t="s">
        <v>52</v>
      </c>
      <c r="I84" s="410"/>
      <c r="L84" s="466" t="s">
        <v>81</v>
      </c>
      <c r="M84" s="467"/>
      <c r="N84" s="25"/>
    </row>
    <row r="85" spans="1:24" ht="14.5" thickBot="1" x14ac:dyDescent="0.35">
      <c r="A85" s="114" t="s">
        <v>395</v>
      </c>
      <c r="B85" s="115" t="s">
        <v>23</v>
      </c>
      <c r="C85" s="116" t="s">
        <v>24</v>
      </c>
      <c r="D85" s="116" t="s">
        <v>25</v>
      </c>
      <c r="E85" s="409" t="s">
        <v>26</v>
      </c>
      <c r="F85" s="409" t="s">
        <v>27</v>
      </c>
      <c r="G85" s="117" t="s">
        <v>73</v>
      </c>
      <c r="H85" s="409" t="s">
        <v>53</v>
      </c>
      <c r="I85" s="114" t="s">
        <v>36</v>
      </c>
      <c r="J85" s="410" t="s">
        <v>48</v>
      </c>
      <c r="K85" s="409" t="s">
        <v>31</v>
      </c>
      <c r="L85" s="114" t="s">
        <v>46</v>
      </c>
      <c r="M85" s="114" t="s">
        <v>34</v>
      </c>
      <c r="N85" s="114" t="s">
        <v>1</v>
      </c>
      <c r="O85" s="114" t="s">
        <v>74</v>
      </c>
      <c r="P85" s="266" t="s">
        <v>121</v>
      </c>
      <c r="Q85" s="328" t="s">
        <v>497</v>
      </c>
      <c r="S85" s="425" t="s">
        <v>559</v>
      </c>
      <c r="T85" s="426" t="s">
        <v>516</v>
      </c>
      <c r="U85" s="426" t="s">
        <v>26</v>
      </c>
      <c r="V85" s="427" t="s">
        <v>550</v>
      </c>
      <c r="X85" s="323"/>
    </row>
    <row r="86" spans="1:24" x14ac:dyDescent="0.3">
      <c r="A86" s="159">
        <v>969500</v>
      </c>
      <c r="B86" s="175" t="s">
        <v>496</v>
      </c>
      <c r="C86" s="171"/>
      <c r="D86" s="171"/>
      <c r="E86" s="195"/>
      <c r="F86" s="160">
        <f t="shared" ref="F86:F97" si="40">ABS(D86-C86)</f>
        <v>0</v>
      </c>
      <c r="G86" s="171"/>
      <c r="H86" s="163">
        <f t="shared" ref="H86:H97" si="41">E86*F86/15.1</f>
        <v>0</v>
      </c>
      <c r="I86" s="163">
        <f t="shared" ref="I86:I97" si="42">H86</f>
        <v>0</v>
      </c>
      <c r="J86" s="171" t="s">
        <v>42</v>
      </c>
      <c r="K86" s="178">
        <v>3</v>
      </c>
      <c r="L86" s="171"/>
      <c r="M86" s="171"/>
      <c r="N86" s="167">
        <f t="shared" ref="N86" si="43">$A$10</f>
        <v>44013</v>
      </c>
      <c r="O86" s="178" t="s">
        <v>537</v>
      </c>
      <c r="P86" s="267">
        <v>9</v>
      </c>
      <c r="Q86" s="108"/>
      <c r="R86" s="328"/>
      <c r="S86" s="440"/>
      <c r="T86" s="432" t="s">
        <v>555</v>
      </c>
      <c r="U86" s="320">
        <v>380</v>
      </c>
      <c r="V86" s="429">
        <v>25.17</v>
      </c>
      <c r="W86" s="323"/>
      <c r="X86" s="323"/>
    </row>
    <row r="87" spans="1:24" x14ac:dyDescent="0.3">
      <c r="A87" s="159">
        <f t="shared" ref="A87:A97" si="44">IF(NOT(ISBLANK(B87)),A86,"")</f>
        <v>969500</v>
      </c>
      <c r="B87" s="175" t="s">
        <v>496</v>
      </c>
      <c r="C87" s="173"/>
      <c r="D87" s="173"/>
      <c r="E87" s="174"/>
      <c r="F87" s="194">
        <f t="shared" si="40"/>
        <v>0</v>
      </c>
      <c r="G87" s="173"/>
      <c r="H87" s="164">
        <f t="shared" si="41"/>
        <v>0</v>
      </c>
      <c r="I87" s="164">
        <f t="shared" si="42"/>
        <v>0</v>
      </c>
      <c r="J87" s="173" t="s">
        <v>42</v>
      </c>
      <c r="K87" s="179">
        <v>3</v>
      </c>
      <c r="L87" s="173"/>
      <c r="M87" s="173"/>
      <c r="N87" s="168">
        <f t="shared" ref="N87:N97" si="45">IF(NOT(ISBLANK(B87)),$A$10,"")</f>
        <v>44013</v>
      </c>
      <c r="O87" s="179" t="s">
        <v>538</v>
      </c>
      <c r="P87" s="268">
        <v>9</v>
      </c>
      <c r="R87" s="328"/>
      <c r="S87" s="440"/>
      <c r="T87" s="433" t="s">
        <v>556</v>
      </c>
      <c r="U87" s="320">
        <v>400.6</v>
      </c>
      <c r="V87" s="429">
        <v>26.53</v>
      </c>
      <c r="W87" s="323"/>
      <c r="X87" s="323"/>
    </row>
    <row r="88" spans="1:24" x14ac:dyDescent="0.3">
      <c r="A88" s="159">
        <f t="shared" si="44"/>
        <v>969500</v>
      </c>
      <c r="B88" s="175" t="s">
        <v>539</v>
      </c>
      <c r="C88" s="173"/>
      <c r="D88" s="173"/>
      <c r="E88" s="196"/>
      <c r="F88" s="161">
        <f t="shared" si="40"/>
        <v>0</v>
      </c>
      <c r="G88" s="173"/>
      <c r="H88" s="164">
        <f t="shared" si="41"/>
        <v>0</v>
      </c>
      <c r="I88" s="164">
        <f t="shared" si="42"/>
        <v>0</v>
      </c>
      <c r="J88" s="173" t="s">
        <v>42</v>
      </c>
      <c r="K88" s="179">
        <v>3</v>
      </c>
      <c r="L88" s="173"/>
      <c r="M88" s="173"/>
      <c r="N88" s="168">
        <f t="shared" si="45"/>
        <v>44013</v>
      </c>
      <c r="O88" s="179"/>
      <c r="P88" s="268">
        <v>9</v>
      </c>
      <c r="Q88" s="108"/>
      <c r="R88" s="108"/>
      <c r="S88" s="441"/>
      <c r="T88" s="431" t="s">
        <v>557</v>
      </c>
      <c r="U88" s="320">
        <v>226</v>
      </c>
      <c r="V88" s="429">
        <v>14.97</v>
      </c>
      <c r="W88" s="323"/>
      <c r="X88" s="323"/>
    </row>
    <row r="89" spans="1:24" ht="14.5" thickBot="1" x14ac:dyDescent="0.35">
      <c r="A89" s="159">
        <f t="shared" si="44"/>
        <v>969500</v>
      </c>
      <c r="B89" s="175" t="s">
        <v>540</v>
      </c>
      <c r="C89" s="173"/>
      <c r="D89" s="173"/>
      <c r="E89" s="174"/>
      <c r="F89" s="161">
        <f t="shared" si="40"/>
        <v>0</v>
      </c>
      <c r="G89" s="173"/>
      <c r="H89" s="164">
        <f t="shared" si="41"/>
        <v>0</v>
      </c>
      <c r="I89" s="164">
        <f t="shared" si="42"/>
        <v>0</v>
      </c>
      <c r="J89" s="173" t="s">
        <v>42</v>
      </c>
      <c r="K89" s="179">
        <v>3</v>
      </c>
      <c r="L89" s="173"/>
      <c r="M89" s="173"/>
      <c r="N89" s="168">
        <f t="shared" si="45"/>
        <v>44013</v>
      </c>
      <c r="O89" s="179"/>
      <c r="P89" s="268">
        <v>9</v>
      </c>
      <c r="Q89" s="108"/>
      <c r="S89" s="442"/>
      <c r="T89" s="443" t="s">
        <v>558</v>
      </c>
      <c r="U89" s="424">
        <v>174.6</v>
      </c>
      <c r="V89" s="438">
        <v>11.56</v>
      </c>
      <c r="W89" s="323"/>
      <c r="X89" s="323"/>
    </row>
    <row r="90" spans="1:24" x14ac:dyDescent="0.3">
      <c r="A90" s="159">
        <f t="shared" si="44"/>
        <v>969500</v>
      </c>
      <c r="B90" s="175" t="s">
        <v>541</v>
      </c>
      <c r="C90" s="173"/>
      <c r="D90" s="173"/>
      <c r="E90" s="196"/>
      <c r="F90" s="161">
        <f t="shared" si="40"/>
        <v>0</v>
      </c>
      <c r="G90" s="173"/>
      <c r="H90" s="164">
        <f t="shared" si="41"/>
        <v>0</v>
      </c>
      <c r="I90" s="164">
        <f t="shared" si="42"/>
        <v>0</v>
      </c>
      <c r="J90" s="173" t="s">
        <v>42</v>
      </c>
      <c r="K90" s="179">
        <v>3</v>
      </c>
      <c r="L90" s="173"/>
      <c r="M90" s="173"/>
      <c r="N90" s="168">
        <f t="shared" si="45"/>
        <v>44013</v>
      </c>
      <c r="O90" s="179"/>
      <c r="P90" s="268">
        <v>9</v>
      </c>
      <c r="Q90" s="108"/>
      <c r="R90" s="108"/>
      <c r="S90" s="324"/>
      <c r="T90" s="346"/>
      <c r="U90" s="323"/>
      <c r="V90" s="323"/>
      <c r="W90" s="323"/>
      <c r="X90" s="323"/>
    </row>
    <row r="91" spans="1:24" x14ac:dyDescent="0.3">
      <c r="A91" s="159">
        <f t="shared" si="44"/>
        <v>969500</v>
      </c>
      <c r="B91" s="175" t="s">
        <v>542</v>
      </c>
      <c r="C91" s="173"/>
      <c r="D91" s="173"/>
      <c r="E91" s="174"/>
      <c r="F91" s="161">
        <f t="shared" si="40"/>
        <v>0</v>
      </c>
      <c r="G91" s="173"/>
      <c r="H91" s="164">
        <f t="shared" si="41"/>
        <v>0</v>
      </c>
      <c r="I91" s="164">
        <f t="shared" si="42"/>
        <v>0</v>
      </c>
      <c r="J91" s="173" t="s">
        <v>42</v>
      </c>
      <c r="K91" s="179">
        <v>3</v>
      </c>
      <c r="L91" s="173"/>
      <c r="M91" s="173"/>
      <c r="N91" s="168">
        <f t="shared" si="45"/>
        <v>44013</v>
      </c>
      <c r="O91" s="179" t="s">
        <v>455</v>
      </c>
      <c r="P91" s="268">
        <v>9</v>
      </c>
      <c r="Q91" s="414"/>
      <c r="R91" s="414"/>
      <c r="S91" s="378"/>
      <c r="T91" s="346"/>
      <c r="U91" s="323"/>
      <c r="V91" s="323"/>
      <c r="W91" s="323"/>
      <c r="X91" s="323"/>
    </row>
    <row r="92" spans="1:24" x14ac:dyDescent="0.3">
      <c r="A92" s="159">
        <f t="shared" si="44"/>
        <v>969500</v>
      </c>
      <c r="B92" s="175" t="s">
        <v>542</v>
      </c>
      <c r="C92" s="173"/>
      <c r="D92" s="173"/>
      <c r="E92" s="174"/>
      <c r="F92" s="161">
        <f t="shared" si="40"/>
        <v>0</v>
      </c>
      <c r="G92" s="173"/>
      <c r="H92" s="164">
        <f t="shared" si="41"/>
        <v>0</v>
      </c>
      <c r="I92" s="164">
        <f t="shared" si="42"/>
        <v>0</v>
      </c>
      <c r="J92" s="173" t="s">
        <v>42</v>
      </c>
      <c r="K92" s="179">
        <v>3</v>
      </c>
      <c r="L92" s="173"/>
      <c r="M92" s="173"/>
      <c r="N92" s="168">
        <f t="shared" si="45"/>
        <v>44013</v>
      </c>
      <c r="O92" s="179" t="s">
        <v>546</v>
      </c>
      <c r="P92" s="268">
        <v>9</v>
      </c>
      <c r="Q92" s="414"/>
      <c r="R92" s="377"/>
      <c r="S92" s="378"/>
      <c r="T92" s="346"/>
      <c r="U92" s="323"/>
      <c r="V92" s="323"/>
      <c r="W92" s="323"/>
      <c r="X92" s="323"/>
    </row>
    <row r="93" spans="1:24" x14ac:dyDescent="0.3">
      <c r="A93" s="159">
        <f t="shared" si="44"/>
        <v>969500</v>
      </c>
      <c r="B93" s="175" t="s">
        <v>543</v>
      </c>
      <c r="C93" s="173"/>
      <c r="D93" s="173"/>
      <c r="E93" s="174"/>
      <c r="F93" s="161">
        <f t="shared" si="40"/>
        <v>0</v>
      </c>
      <c r="G93" s="173"/>
      <c r="H93" s="164">
        <f t="shared" si="41"/>
        <v>0</v>
      </c>
      <c r="I93" s="164">
        <f t="shared" si="42"/>
        <v>0</v>
      </c>
      <c r="J93" s="173" t="s">
        <v>42</v>
      </c>
      <c r="K93" s="179">
        <v>3</v>
      </c>
      <c r="L93" s="173"/>
      <c r="M93" s="173"/>
      <c r="N93" s="168">
        <f t="shared" si="45"/>
        <v>44013</v>
      </c>
      <c r="O93" s="179"/>
      <c r="P93" s="268">
        <v>9</v>
      </c>
      <c r="Q93" s="377"/>
      <c r="R93" s="377"/>
      <c r="S93" s="378"/>
      <c r="T93" s="346"/>
      <c r="U93" s="323"/>
      <c r="V93" s="323"/>
      <c r="W93" s="323"/>
      <c r="X93" s="323"/>
    </row>
    <row r="94" spans="1:24" x14ac:dyDescent="0.3">
      <c r="A94" s="159"/>
      <c r="B94" s="175"/>
      <c r="C94" s="173"/>
      <c r="D94" s="173"/>
      <c r="E94" s="174"/>
      <c r="F94" s="161">
        <f t="shared" ref="F94:F95" si="46">ABS(D94-C94)</f>
        <v>0</v>
      </c>
      <c r="G94" s="173"/>
      <c r="H94" s="164">
        <f t="shared" ref="H94:H95" si="47">E94*F94/15.1</f>
        <v>0</v>
      </c>
      <c r="I94" s="164">
        <f t="shared" ref="I94:I95" si="48">H94</f>
        <v>0</v>
      </c>
      <c r="J94" s="173"/>
      <c r="K94" s="179"/>
      <c r="L94" s="173"/>
      <c r="M94" s="173"/>
      <c r="N94" s="168" t="str">
        <f t="shared" ref="N94:N95" si="49">IF(NOT(ISBLANK(B94)),$A$10,"")</f>
        <v/>
      </c>
      <c r="O94" s="179"/>
      <c r="P94" s="268"/>
      <c r="Q94" s="377"/>
      <c r="R94" s="377"/>
      <c r="S94" s="378"/>
      <c r="T94" s="346"/>
      <c r="U94" s="323"/>
      <c r="V94" s="323"/>
      <c r="W94" s="323"/>
      <c r="X94" s="323"/>
    </row>
    <row r="95" spans="1:24" x14ac:dyDescent="0.3">
      <c r="A95" s="159"/>
      <c r="B95" s="175"/>
      <c r="C95" s="173"/>
      <c r="D95" s="173"/>
      <c r="E95" s="174"/>
      <c r="F95" s="161">
        <f t="shared" si="46"/>
        <v>0</v>
      </c>
      <c r="G95" s="173"/>
      <c r="H95" s="164">
        <f t="shared" si="47"/>
        <v>0</v>
      </c>
      <c r="I95" s="164">
        <f t="shared" si="48"/>
        <v>0</v>
      </c>
      <c r="J95" s="173"/>
      <c r="K95" s="179"/>
      <c r="L95" s="173"/>
      <c r="M95" s="173"/>
      <c r="N95" s="168" t="str">
        <f t="shared" si="49"/>
        <v/>
      </c>
      <c r="O95" s="179"/>
      <c r="P95" s="268"/>
      <c r="Q95" s="377"/>
      <c r="R95" s="377"/>
      <c r="S95" s="378"/>
      <c r="T95" s="346"/>
      <c r="U95" s="323"/>
      <c r="V95" s="323"/>
      <c r="W95" s="323"/>
      <c r="X95" s="323"/>
    </row>
    <row r="96" spans="1:24" x14ac:dyDescent="0.3">
      <c r="A96" s="159" t="str">
        <f>IF(NOT(ISBLANK(B96)),A93,"")</f>
        <v/>
      </c>
      <c r="B96" s="175"/>
      <c r="C96" s="173"/>
      <c r="D96" s="173"/>
      <c r="E96" s="174"/>
      <c r="F96" s="161">
        <f t="shared" si="40"/>
        <v>0</v>
      </c>
      <c r="G96" s="173"/>
      <c r="H96" s="164">
        <f t="shared" si="41"/>
        <v>0</v>
      </c>
      <c r="I96" s="164">
        <f t="shared" si="42"/>
        <v>0</v>
      </c>
      <c r="J96" s="173"/>
      <c r="K96" s="179"/>
      <c r="L96" s="173"/>
      <c r="M96" s="173"/>
      <c r="N96" s="168" t="str">
        <f t="shared" si="45"/>
        <v/>
      </c>
      <c r="O96" s="179"/>
      <c r="P96" s="268"/>
      <c r="Q96" s="377"/>
      <c r="R96" s="377"/>
      <c r="S96" s="378"/>
      <c r="T96" s="346"/>
      <c r="U96" s="323"/>
      <c r="V96" s="323"/>
      <c r="W96" s="323"/>
      <c r="X96" s="323"/>
    </row>
    <row r="97" spans="1:24" ht="14.5" thickBot="1" x14ac:dyDescent="0.35">
      <c r="A97" s="159" t="str">
        <f t="shared" si="44"/>
        <v/>
      </c>
      <c r="B97" s="181"/>
      <c r="C97" s="176"/>
      <c r="D97" s="176"/>
      <c r="E97" s="177"/>
      <c r="F97" s="162">
        <f t="shared" si="40"/>
        <v>0</v>
      </c>
      <c r="G97" s="173"/>
      <c r="H97" s="164">
        <f t="shared" si="41"/>
        <v>0</v>
      </c>
      <c r="I97" s="164">
        <f t="shared" si="42"/>
        <v>0</v>
      </c>
      <c r="J97" s="176"/>
      <c r="K97" s="180"/>
      <c r="L97" s="176"/>
      <c r="M97" s="176"/>
      <c r="N97" s="169" t="str">
        <f t="shared" si="45"/>
        <v/>
      </c>
      <c r="O97" s="180"/>
      <c r="P97" s="269"/>
      <c r="Q97" s="377"/>
      <c r="R97" s="382"/>
      <c r="S97" s="378"/>
      <c r="T97" s="346"/>
      <c r="U97" s="323"/>
      <c r="V97" s="323"/>
      <c r="W97" s="323"/>
      <c r="X97" s="323"/>
    </row>
    <row r="98" spans="1:24" ht="16" thickBot="1" x14ac:dyDescent="0.4">
      <c r="A98" s="127" t="s">
        <v>49</v>
      </c>
      <c r="B98" s="128"/>
      <c r="C98" s="128"/>
      <c r="D98" s="128"/>
      <c r="E98" s="128"/>
      <c r="F98" s="128"/>
      <c r="G98" s="129"/>
      <c r="H98" s="170">
        <f t="shared" ref="H98:I98" si="50">SUM(H86:H97)</f>
        <v>0</v>
      </c>
      <c r="I98" s="166">
        <f t="shared" si="50"/>
        <v>0</v>
      </c>
      <c r="J98" s="411"/>
      <c r="K98" s="412"/>
      <c r="L98" s="412"/>
      <c r="M98" s="412"/>
      <c r="N98" s="412"/>
      <c r="O98" s="412"/>
      <c r="P98" s="413"/>
      <c r="Q98" s="108"/>
      <c r="R98" s="108"/>
      <c r="S98" s="324"/>
      <c r="T98" s="323"/>
      <c r="U98" s="323"/>
      <c r="V98" s="323"/>
      <c r="W98" s="323"/>
      <c r="X98" s="323"/>
    </row>
    <row r="99" spans="1:24" ht="14.5" thickBot="1" x14ac:dyDescent="0.35">
      <c r="Q99" s="108"/>
      <c r="R99" s="108"/>
      <c r="S99" s="324"/>
      <c r="T99" s="323"/>
      <c r="U99" s="323"/>
      <c r="V99" s="323"/>
      <c r="W99" s="323"/>
      <c r="X99" s="323"/>
    </row>
    <row r="100" spans="1:24" ht="14.5" thickBot="1" x14ac:dyDescent="0.35">
      <c r="B100" s="51"/>
      <c r="C100" s="409" t="s">
        <v>44</v>
      </c>
      <c r="D100" s="410"/>
      <c r="G100" s="114" t="s">
        <v>45</v>
      </c>
      <c r="H100" s="409" t="s">
        <v>52</v>
      </c>
      <c r="I100" s="410"/>
      <c r="L100" s="466" t="s">
        <v>81</v>
      </c>
      <c r="M100" s="467"/>
      <c r="N100" s="25"/>
      <c r="Q100" s="108"/>
      <c r="R100" s="108"/>
      <c r="S100" s="324"/>
      <c r="T100" s="323"/>
      <c r="U100" s="323"/>
      <c r="V100" s="323"/>
      <c r="W100" s="323"/>
      <c r="X100" s="323"/>
    </row>
    <row r="101" spans="1:24" ht="14.5" thickBot="1" x14ac:dyDescent="0.35">
      <c r="A101" s="114" t="s">
        <v>395</v>
      </c>
      <c r="B101" s="115" t="s">
        <v>23</v>
      </c>
      <c r="C101" s="116" t="s">
        <v>24</v>
      </c>
      <c r="D101" s="116" t="s">
        <v>25</v>
      </c>
      <c r="E101" s="409" t="s">
        <v>26</v>
      </c>
      <c r="F101" s="409" t="s">
        <v>27</v>
      </c>
      <c r="G101" s="117" t="s">
        <v>73</v>
      </c>
      <c r="H101" s="409" t="s">
        <v>53</v>
      </c>
      <c r="I101" s="114" t="s">
        <v>36</v>
      </c>
      <c r="J101" s="410" t="s">
        <v>48</v>
      </c>
      <c r="K101" s="409" t="s">
        <v>31</v>
      </c>
      <c r="L101" s="114" t="s">
        <v>46</v>
      </c>
      <c r="M101" s="114" t="s">
        <v>34</v>
      </c>
      <c r="N101" s="114" t="s">
        <v>1</v>
      </c>
      <c r="O101" s="114" t="s">
        <v>74</v>
      </c>
      <c r="P101" s="266" t="s">
        <v>121</v>
      </c>
      <c r="Q101" s="328" t="s">
        <v>497</v>
      </c>
      <c r="R101" s="277"/>
      <c r="S101" s="321"/>
      <c r="T101" s="323"/>
      <c r="U101" s="323"/>
      <c r="V101" s="323"/>
      <c r="W101" s="323"/>
      <c r="X101" s="323"/>
    </row>
    <row r="102" spans="1:24" x14ac:dyDescent="0.3">
      <c r="A102" s="159">
        <v>969501</v>
      </c>
      <c r="B102" s="175" t="s">
        <v>498</v>
      </c>
      <c r="C102" s="171"/>
      <c r="D102" s="171"/>
      <c r="E102" s="195"/>
      <c r="F102" s="160">
        <f t="shared" ref="F102:F113" si="51">ABS(D102-C102)</f>
        <v>0</v>
      </c>
      <c r="G102" s="171"/>
      <c r="H102" s="163">
        <f>E102*F102/15.1</f>
        <v>0</v>
      </c>
      <c r="I102" s="163">
        <f>H102</f>
        <v>0</v>
      </c>
      <c r="J102" s="171" t="s">
        <v>42</v>
      </c>
      <c r="K102" s="178">
        <v>3</v>
      </c>
      <c r="L102" s="171"/>
      <c r="M102" s="171"/>
      <c r="N102" s="167">
        <f>$A$10</f>
        <v>44013</v>
      </c>
      <c r="O102" s="178" t="s">
        <v>499</v>
      </c>
      <c r="P102" s="267">
        <v>9</v>
      </c>
      <c r="Q102" s="323"/>
      <c r="R102" s="323"/>
      <c r="S102" s="323"/>
      <c r="T102" s="323"/>
      <c r="U102" s="323"/>
      <c r="V102" s="323"/>
      <c r="W102" s="323"/>
      <c r="X102" s="323"/>
    </row>
    <row r="103" spans="1:24" x14ac:dyDescent="0.3">
      <c r="A103" s="159">
        <f t="shared" ref="A103:A113" si="52">IF(NOT(ISBLANK(B103)),A102,"")</f>
        <v>969501</v>
      </c>
      <c r="B103" s="175" t="s">
        <v>498</v>
      </c>
      <c r="C103" s="173"/>
      <c r="D103" s="173"/>
      <c r="E103" s="174"/>
      <c r="F103" s="194">
        <f t="shared" si="51"/>
        <v>0</v>
      </c>
      <c r="G103" s="173"/>
      <c r="H103" s="164">
        <f>E103*F103/15.1</f>
        <v>0</v>
      </c>
      <c r="I103" s="164">
        <f>H103</f>
        <v>0</v>
      </c>
      <c r="J103" s="173" t="s">
        <v>42</v>
      </c>
      <c r="K103" s="179">
        <v>3</v>
      </c>
      <c r="L103" s="173"/>
      <c r="M103" s="173"/>
      <c r="N103" s="168">
        <f t="shared" ref="N103:N108" si="53">IF(NOT(ISBLANK(B103)),$A$10,"")</f>
        <v>44013</v>
      </c>
      <c r="O103" s="179" t="s">
        <v>544</v>
      </c>
      <c r="P103" s="268">
        <v>9</v>
      </c>
      <c r="Q103" s="323"/>
      <c r="R103" s="375"/>
      <c r="S103" s="323"/>
      <c r="T103" s="323"/>
      <c r="U103" s="323"/>
      <c r="V103" s="323"/>
      <c r="W103" s="323"/>
      <c r="X103" s="323"/>
    </row>
    <row r="104" spans="1:24" x14ac:dyDescent="0.3">
      <c r="A104" s="159">
        <f t="shared" si="52"/>
        <v>969501</v>
      </c>
      <c r="B104" s="175" t="s">
        <v>498</v>
      </c>
      <c r="C104" s="173"/>
      <c r="D104" s="173"/>
      <c r="E104" s="196"/>
      <c r="F104" s="161">
        <f t="shared" si="51"/>
        <v>0</v>
      </c>
      <c r="G104" s="173"/>
      <c r="H104" s="164">
        <f t="shared" ref="H104:H113" si="54">E104*F104/15.1</f>
        <v>0</v>
      </c>
      <c r="I104" s="164">
        <f t="shared" ref="I104:I113" si="55">H104</f>
        <v>0</v>
      </c>
      <c r="J104" s="173" t="s">
        <v>42</v>
      </c>
      <c r="K104" s="179">
        <v>3</v>
      </c>
      <c r="L104" s="173"/>
      <c r="M104" s="173"/>
      <c r="N104" s="168">
        <f t="shared" si="53"/>
        <v>44013</v>
      </c>
      <c r="O104" s="179" t="s">
        <v>545</v>
      </c>
      <c r="P104" s="268">
        <v>9</v>
      </c>
    </row>
    <row r="105" spans="1:24" x14ac:dyDescent="0.3">
      <c r="A105" s="159">
        <f t="shared" si="52"/>
        <v>969501</v>
      </c>
      <c r="B105" s="175" t="s">
        <v>498</v>
      </c>
      <c r="C105" s="173"/>
      <c r="D105" s="173"/>
      <c r="E105" s="174"/>
      <c r="F105" s="161">
        <f t="shared" si="51"/>
        <v>0</v>
      </c>
      <c r="G105" s="173"/>
      <c r="H105" s="164">
        <f t="shared" si="54"/>
        <v>0</v>
      </c>
      <c r="I105" s="164">
        <f t="shared" si="55"/>
        <v>0</v>
      </c>
      <c r="J105" s="173" t="s">
        <v>42</v>
      </c>
      <c r="K105" s="179">
        <v>3</v>
      </c>
      <c r="L105" s="173"/>
      <c r="M105" s="173"/>
      <c r="N105" s="168">
        <f t="shared" si="53"/>
        <v>44013</v>
      </c>
      <c r="O105" s="179" t="s">
        <v>494</v>
      </c>
      <c r="P105" s="268">
        <v>9</v>
      </c>
    </row>
    <row r="106" spans="1:24" x14ac:dyDescent="0.3">
      <c r="A106" s="159"/>
      <c r="B106" s="175"/>
      <c r="C106" s="173"/>
      <c r="D106" s="173"/>
      <c r="E106" s="196"/>
      <c r="F106" s="161">
        <f t="shared" ref="F106:F107" si="56">ABS(D106-C106)</f>
        <v>0</v>
      </c>
      <c r="G106" s="173"/>
      <c r="H106" s="164">
        <f t="shared" ref="H106:H107" si="57">E106*F106/15.1</f>
        <v>0</v>
      </c>
      <c r="I106" s="164">
        <f t="shared" ref="I106:I107" si="58">H106</f>
        <v>0</v>
      </c>
      <c r="J106" s="173"/>
      <c r="K106" s="179"/>
      <c r="L106" s="173"/>
      <c r="M106" s="173"/>
      <c r="N106" s="168" t="str">
        <f t="shared" ref="N106:N107" si="59">IF(NOT(ISBLANK(B106)),$A$10,"")</f>
        <v/>
      </c>
      <c r="O106" s="179"/>
      <c r="P106" s="268"/>
    </row>
    <row r="107" spans="1:24" x14ac:dyDescent="0.3">
      <c r="A107" s="159"/>
      <c r="B107" s="175"/>
      <c r="C107" s="173"/>
      <c r="D107" s="173"/>
      <c r="E107" s="196"/>
      <c r="F107" s="161">
        <f t="shared" si="56"/>
        <v>0</v>
      </c>
      <c r="G107" s="173"/>
      <c r="H107" s="164">
        <f t="shared" si="57"/>
        <v>0</v>
      </c>
      <c r="I107" s="164">
        <f t="shared" si="58"/>
        <v>0</v>
      </c>
      <c r="J107" s="173"/>
      <c r="K107" s="179"/>
      <c r="L107" s="173"/>
      <c r="M107" s="173"/>
      <c r="N107" s="168" t="str">
        <f t="shared" si="59"/>
        <v/>
      </c>
      <c r="O107" s="179"/>
      <c r="P107" s="268"/>
    </row>
    <row r="108" spans="1:24" x14ac:dyDescent="0.3">
      <c r="A108" s="159" t="str">
        <f>IF(NOT(ISBLANK(B108)),A105,"")</f>
        <v/>
      </c>
      <c r="B108" s="175"/>
      <c r="C108" s="173"/>
      <c r="D108" s="173"/>
      <c r="E108" s="196"/>
      <c r="F108" s="161">
        <f t="shared" si="51"/>
        <v>0</v>
      </c>
      <c r="G108" s="173"/>
      <c r="H108" s="164">
        <f t="shared" si="54"/>
        <v>0</v>
      </c>
      <c r="I108" s="164">
        <f t="shared" si="55"/>
        <v>0</v>
      </c>
      <c r="J108" s="173"/>
      <c r="K108" s="179"/>
      <c r="L108" s="173"/>
      <c r="M108" s="173"/>
      <c r="N108" s="168" t="str">
        <f t="shared" si="53"/>
        <v/>
      </c>
      <c r="O108" s="179"/>
      <c r="P108" s="268"/>
    </row>
    <row r="109" spans="1:24" x14ac:dyDescent="0.3">
      <c r="A109" s="159" t="str">
        <f t="shared" si="52"/>
        <v/>
      </c>
      <c r="B109" s="175"/>
      <c r="C109" s="173"/>
      <c r="D109" s="173"/>
      <c r="E109" s="174"/>
      <c r="F109" s="161">
        <f t="shared" si="51"/>
        <v>0</v>
      </c>
      <c r="G109" s="173"/>
      <c r="H109" s="164">
        <f t="shared" si="54"/>
        <v>0</v>
      </c>
      <c r="I109" s="164">
        <f t="shared" si="55"/>
        <v>0</v>
      </c>
      <c r="J109" s="173"/>
      <c r="K109" s="179"/>
      <c r="L109" s="173"/>
      <c r="M109" s="173"/>
      <c r="N109" s="168" t="str">
        <f>IF(NOT(ISBLANK(B109)),$A$10,"")</f>
        <v/>
      </c>
      <c r="O109" s="179"/>
      <c r="P109" s="268"/>
    </row>
    <row r="110" spans="1:24" x14ac:dyDescent="0.3">
      <c r="A110" s="159" t="str">
        <f t="shared" si="52"/>
        <v/>
      </c>
      <c r="B110" s="175"/>
      <c r="C110" s="173"/>
      <c r="D110" s="173"/>
      <c r="E110" s="174"/>
      <c r="F110" s="161">
        <f t="shared" si="51"/>
        <v>0</v>
      </c>
      <c r="G110" s="173"/>
      <c r="H110" s="164">
        <f t="shared" si="54"/>
        <v>0</v>
      </c>
      <c r="I110" s="164">
        <f t="shared" si="55"/>
        <v>0</v>
      </c>
      <c r="J110" s="173"/>
      <c r="K110" s="179"/>
      <c r="L110" s="173"/>
      <c r="M110" s="173"/>
      <c r="N110" s="168" t="str">
        <f>IF(NOT(ISBLANK(B110)),$A$10,"")</f>
        <v/>
      </c>
      <c r="O110" s="179"/>
      <c r="P110" s="268"/>
    </row>
    <row r="111" spans="1:24" x14ac:dyDescent="0.3">
      <c r="A111" s="159" t="str">
        <f t="shared" si="52"/>
        <v/>
      </c>
      <c r="B111" s="175"/>
      <c r="C111" s="173"/>
      <c r="D111" s="173"/>
      <c r="E111" s="174"/>
      <c r="F111" s="161">
        <f t="shared" si="51"/>
        <v>0</v>
      </c>
      <c r="G111" s="173"/>
      <c r="H111" s="164">
        <f t="shared" si="54"/>
        <v>0</v>
      </c>
      <c r="I111" s="164">
        <f t="shared" si="55"/>
        <v>0</v>
      </c>
      <c r="J111" s="173"/>
      <c r="K111" s="179"/>
      <c r="L111" s="173"/>
      <c r="M111" s="173"/>
      <c r="N111" s="168" t="str">
        <f>IF(NOT(ISBLANK(B111)),$A$10,"")</f>
        <v/>
      </c>
      <c r="O111" s="179"/>
      <c r="P111" s="268"/>
      <c r="Q111" s="364"/>
    </row>
    <row r="112" spans="1:24" x14ac:dyDescent="0.3">
      <c r="A112" s="159" t="str">
        <f t="shared" si="52"/>
        <v/>
      </c>
      <c r="B112" s="175"/>
      <c r="C112" s="173"/>
      <c r="D112" s="173"/>
      <c r="E112" s="174"/>
      <c r="F112" s="161">
        <f t="shared" si="51"/>
        <v>0</v>
      </c>
      <c r="G112" s="173"/>
      <c r="H112" s="164">
        <f t="shared" si="54"/>
        <v>0</v>
      </c>
      <c r="I112" s="164">
        <f t="shared" si="55"/>
        <v>0</v>
      </c>
      <c r="J112" s="173"/>
      <c r="K112" s="179"/>
      <c r="L112" s="173"/>
      <c r="M112" s="173"/>
      <c r="N112" s="168" t="str">
        <f t="shared" ref="N112:N113" si="60">IF(NOT(ISBLANK(B112)),$A$10,"")</f>
        <v/>
      </c>
      <c r="O112" s="179"/>
      <c r="P112" s="268"/>
    </row>
    <row r="113" spans="1:16" ht="14.5" thickBot="1" x14ac:dyDescent="0.35">
      <c r="A113" s="159" t="str">
        <f t="shared" si="52"/>
        <v/>
      </c>
      <c r="B113" s="181"/>
      <c r="C113" s="176"/>
      <c r="D113" s="176"/>
      <c r="E113" s="177"/>
      <c r="F113" s="162">
        <f t="shared" si="51"/>
        <v>0</v>
      </c>
      <c r="G113" s="173"/>
      <c r="H113" s="164">
        <f t="shared" si="54"/>
        <v>0</v>
      </c>
      <c r="I113" s="164">
        <f t="shared" si="55"/>
        <v>0</v>
      </c>
      <c r="J113" s="176"/>
      <c r="K113" s="180"/>
      <c r="L113" s="176"/>
      <c r="M113" s="176"/>
      <c r="N113" s="169" t="str">
        <f t="shared" si="60"/>
        <v/>
      </c>
      <c r="O113" s="180"/>
      <c r="P113" s="269"/>
    </row>
    <row r="114" spans="1:16" ht="16" thickBot="1" x14ac:dyDescent="0.4">
      <c r="A114" s="127" t="s">
        <v>49</v>
      </c>
      <c r="B114" s="128"/>
      <c r="C114" s="128"/>
      <c r="D114" s="128"/>
      <c r="E114" s="128"/>
      <c r="F114" s="128"/>
      <c r="G114" s="129"/>
      <c r="H114" s="170">
        <f>SUM(H102:H113)</f>
        <v>0</v>
      </c>
      <c r="I114" s="166">
        <f>SUM(I102:I113)</f>
        <v>0</v>
      </c>
      <c r="J114" s="411"/>
      <c r="K114" s="412"/>
      <c r="L114" s="412"/>
      <c r="M114" s="412"/>
      <c r="N114" s="412"/>
      <c r="O114" s="412"/>
      <c r="P114" s="413"/>
    </row>
    <row r="115" spans="1:16" ht="14.5" thickBot="1" x14ac:dyDescent="0.35"/>
    <row r="116" spans="1:16" ht="14.5" thickBot="1" x14ac:dyDescent="0.35">
      <c r="B116" s="51"/>
      <c r="C116" s="409" t="s">
        <v>44</v>
      </c>
      <c r="D116" s="410"/>
      <c r="G116" s="114" t="s">
        <v>45</v>
      </c>
      <c r="H116" s="409" t="s">
        <v>52</v>
      </c>
      <c r="I116" s="410"/>
      <c r="L116" s="466" t="s">
        <v>81</v>
      </c>
      <c r="M116" s="467"/>
      <c r="N116" s="25"/>
    </row>
    <row r="117" spans="1:16" ht="14.5" thickBot="1" x14ac:dyDescent="0.35">
      <c r="A117" s="114" t="s">
        <v>395</v>
      </c>
      <c r="B117" s="115" t="s">
        <v>23</v>
      </c>
      <c r="C117" s="116" t="s">
        <v>24</v>
      </c>
      <c r="D117" s="116" t="s">
        <v>25</v>
      </c>
      <c r="E117" s="409" t="s">
        <v>26</v>
      </c>
      <c r="F117" s="409" t="s">
        <v>27</v>
      </c>
      <c r="G117" s="117" t="s">
        <v>73</v>
      </c>
      <c r="H117" s="409" t="s">
        <v>53</v>
      </c>
      <c r="I117" s="114" t="s">
        <v>36</v>
      </c>
      <c r="J117" s="410" t="s">
        <v>48</v>
      </c>
      <c r="K117" s="409" t="s">
        <v>31</v>
      </c>
      <c r="L117" s="114" t="s">
        <v>46</v>
      </c>
      <c r="M117" s="114" t="s">
        <v>34</v>
      </c>
      <c r="N117" s="114" t="s">
        <v>1</v>
      </c>
      <c r="O117" s="114" t="s">
        <v>74</v>
      </c>
      <c r="P117" s="266" t="s">
        <v>121</v>
      </c>
    </row>
    <row r="118" spans="1:16" x14ac:dyDescent="0.3">
      <c r="A118" s="159">
        <v>969502</v>
      </c>
      <c r="B118" s="175" t="s">
        <v>503</v>
      </c>
      <c r="C118" s="171"/>
      <c r="D118" s="171"/>
      <c r="E118" s="195"/>
      <c r="F118" s="160">
        <f t="shared" ref="F118:F129" si="61">ABS(D118-C118)</f>
        <v>0</v>
      </c>
      <c r="G118" s="171"/>
      <c r="H118" s="163">
        <f t="shared" ref="H118:H129" si="62">E118*F118/15.1</f>
        <v>0</v>
      </c>
      <c r="I118" s="163">
        <f t="shared" ref="I118:I129" si="63">H118</f>
        <v>0</v>
      </c>
      <c r="J118" s="171" t="s">
        <v>42</v>
      </c>
      <c r="K118" s="178">
        <v>3</v>
      </c>
      <c r="L118" s="171"/>
      <c r="M118" s="171"/>
      <c r="N118" s="167">
        <f t="shared" ref="N118" si="64">$A$10</f>
        <v>44013</v>
      </c>
      <c r="O118" s="178" t="s">
        <v>426</v>
      </c>
      <c r="P118" s="267">
        <v>9</v>
      </c>
    </row>
    <row r="119" spans="1:16" x14ac:dyDescent="0.3">
      <c r="A119" s="159"/>
      <c r="B119" s="175"/>
      <c r="C119" s="173"/>
      <c r="D119" s="173"/>
      <c r="E119" s="174"/>
      <c r="F119" s="194">
        <f t="shared" ref="F119:F120" si="65">ABS(D119-C119)</f>
        <v>0</v>
      </c>
      <c r="G119" s="173"/>
      <c r="H119" s="164">
        <f t="shared" ref="H119:H120" si="66">E119*F119/15.1</f>
        <v>0</v>
      </c>
      <c r="I119" s="164">
        <f t="shared" ref="I119:I120" si="67">H119</f>
        <v>0</v>
      </c>
      <c r="J119" s="173" t="s">
        <v>42</v>
      </c>
      <c r="K119" s="179">
        <v>3</v>
      </c>
      <c r="L119" s="173"/>
      <c r="M119" s="173"/>
      <c r="N119" s="168" t="str">
        <f t="shared" ref="N119:N120" si="68">IF(NOT(ISBLANK(B119)),$A$10,"")</f>
        <v/>
      </c>
      <c r="O119" s="179"/>
      <c r="P119" s="267"/>
    </row>
    <row r="120" spans="1:16" x14ac:dyDescent="0.3">
      <c r="A120" s="159"/>
      <c r="B120" s="175"/>
      <c r="C120" s="173"/>
      <c r="D120" s="173"/>
      <c r="E120" s="196"/>
      <c r="F120" s="161">
        <f t="shared" si="65"/>
        <v>0</v>
      </c>
      <c r="G120" s="173"/>
      <c r="H120" s="164">
        <f t="shared" si="66"/>
        <v>0</v>
      </c>
      <c r="I120" s="164">
        <f t="shared" si="67"/>
        <v>0</v>
      </c>
      <c r="J120" s="173" t="s">
        <v>42</v>
      </c>
      <c r="K120" s="179">
        <v>3</v>
      </c>
      <c r="L120" s="173"/>
      <c r="M120" s="173"/>
      <c r="N120" s="168" t="str">
        <f t="shared" si="68"/>
        <v/>
      </c>
      <c r="O120" s="179"/>
      <c r="P120" s="267"/>
    </row>
    <row r="121" spans="1:16" x14ac:dyDescent="0.3">
      <c r="A121" s="159" t="str">
        <f>IF(NOT(ISBLANK(B121)),A118,"")</f>
        <v/>
      </c>
      <c r="B121" s="175"/>
      <c r="C121" s="173"/>
      <c r="D121" s="173"/>
      <c r="E121" s="174"/>
      <c r="F121" s="194">
        <f t="shared" si="61"/>
        <v>0</v>
      </c>
      <c r="G121" s="173"/>
      <c r="H121" s="164">
        <f t="shared" si="62"/>
        <v>0</v>
      </c>
      <c r="I121" s="164">
        <f t="shared" si="63"/>
        <v>0</v>
      </c>
      <c r="J121" s="173" t="s">
        <v>42</v>
      </c>
      <c r="K121" s="179">
        <v>3</v>
      </c>
      <c r="L121" s="173"/>
      <c r="M121" s="173"/>
      <c r="N121" s="168" t="str">
        <f t="shared" ref="N121:N129" si="69">IF(NOT(ISBLANK(B121)),$A$10,"")</f>
        <v/>
      </c>
      <c r="O121" s="179"/>
      <c r="P121" s="268"/>
    </row>
    <row r="122" spans="1:16" x14ac:dyDescent="0.3">
      <c r="A122" s="159" t="str">
        <f t="shared" ref="A122:A129" si="70">IF(NOT(ISBLANK(B122)),A121,"")</f>
        <v/>
      </c>
      <c r="B122" s="175"/>
      <c r="C122" s="173"/>
      <c r="D122" s="173"/>
      <c r="E122" s="196"/>
      <c r="F122" s="161">
        <f t="shared" si="61"/>
        <v>0</v>
      </c>
      <c r="G122" s="173"/>
      <c r="H122" s="164">
        <f t="shared" si="62"/>
        <v>0</v>
      </c>
      <c r="I122" s="164">
        <f t="shared" si="63"/>
        <v>0</v>
      </c>
      <c r="J122" s="173" t="s">
        <v>42</v>
      </c>
      <c r="K122" s="179">
        <v>3</v>
      </c>
      <c r="L122" s="173"/>
      <c r="M122" s="173"/>
      <c r="N122" s="168" t="str">
        <f t="shared" si="69"/>
        <v/>
      </c>
      <c r="O122" s="179"/>
      <c r="P122" s="268"/>
    </row>
    <row r="123" spans="1:16" x14ac:dyDescent="0.3">
      <c r="A123" s="159" t="str">
        <f t="shared" si="70"/>
        <v/>
      </c>
      <c r="B123" s="175"/>
      <c r="C123" s="173"/>
      <c r="D123" s="173"/>
      <c r="E123" s="174"/>
      <c r="F123" s="161">
        <f t="shared" si="61"/>
        <v>0</v>
      </c>
      <c r="G123" s="173"/>
      <c r="H123" s="164">
        <f t="shared" si="62"/>
        <v>0</v>
      </c>
      <c r="I123" s="164">
        <f t="shared" si="63"/>
        <v>0</v>
      </c>
      <c r="J123" s="173"/>
      <c r="K123" s="179"/>
      <c r="L123" s="173"/>
      <c r="M123" s="173"/>
      <c r="N123" s="168" t="str">
        <f t="shared" si="69"/>
        <v/>
      </c>
      <c r="O123" s="179"/>
      <c r="P123" s="268"/>
    </row>
    <row r="124" spans="1:16" x14ac:dyDescent="0.3">
      <c r="A124" s="159" t="str">
        <f t="shared" si="70"/>
        <v/>
      </c>
      <c r="B124" s="175"/>
      <c r="C124" s="173"/>
      <c r="D124" s="173"/>
      <c r="E124" s="196"/>
      <c r="F124" s="161">
        <f t="shared" si="61"/>
        <v>0</v>
      </c>
      <c r="G124" s="173"/>
      <c r="H124" s="164">
        <f t="shared" si="62"/>
        <v>0</v>
      </c>
      <c r="I124" s="164">
        <f t="shared" si="63"/>
        <v>0</v>
      </c>
      <c r="J124" s="173"/>
      <c r="K124" s="179"/>
      <c r="L124" s="173"/>
      <c r="M124" s="173"/>
      <c r="N124" s="168" t="str">
        <f t="shared" si="69"/>
        <v/>
      </c>
      <c r="O124" s="179"/>
      <c r="P124" s="268"/>
    </row>
    <row r="125" spans="1:16" x14ac:dyDescent="0.3">
      <c r="A125" s="159" t="str">
        <f t="shared" si="70"/>
        <v/>
      </c>
      <c r="B125" s="175"/>
      <c r="C125" s="173"/>
      <c r="D125" s="173"/>
      <c r="E125" s="174"/>
      <c r="F125" s="161">
        <f t="shared" si="61"/>
        <v>0</v>
      </c>
      <c r="G125" s="173"/>
      <c r="H125" s="164">
        <f t="shared" si="62"/>
        <v>0</v>
      </c>
      <c r="I125" s="164">
        <f t="shared" si="63"/>
        <v>0</v>
      </c>
      <c r="J125" s="173"/>
      <c r="K125" s="179"/>
      <c r="L125" s="173"/>
      <c r="M125" s="173"/>
      <c r="N125" s="168" t="str">
        <f t="shared" si="69"/>
        <v/>
      </c>
      <c r="O125" s="179"/>
      <c r="P125" s="268"/>
    </row>
    <row r="126" spans="1:16" x14ac:dyDescent="0.3">
      <c r="A126" s="159" t="str">
        <f t="shared" si="70"/>
        <v/>
      </c>
      <c r="B126" s="175"/>
      <c r="C126" s="173"/>
      <c r="D126" s="173"/>
      <c r="E126" s="174"/>
      <c r="F126" s="161">
        <f t="shared" si="61"/>
        <v>0</v>
      </c>
      <c r="G126" s="173"/>
      <c r="H126" s="164">
        <f t="shared" si="62"/>
        <v>0</v>
      </c>
      <c r="I126" s="164">
        <f t="shared" si="63"/>
        <v>0</v>
      </c>
      <c r="J126" s="173"/>
      <c r="K126" s="179"/>
      <c r="L126" s="173"/>
      <c r="M126" s="173"/>
      <c r="N126" s="168" t="str">
        <f t="shared" si="69"/>
        <v/>
      </c>
      <c r="O126" s="179"/>
      <c r="P126" s="268"/>
    </row>
    <row r="127" spans="1:16" x14ac:dyDescent="0.3">
      <c r="A127" s="159" t="str">
        <f t="shared" si="70"/>
        <v/>
      </c>
      <c r="B127" s="175"/>
      <c r="C127" s="173"/>
      <c r="D127" s="173"/>
      <c r="E127" s="174"/>
      <c r="F127" s="161">
        <f t="shared" si="61"/>
        <v>0</v>
      </c>
      <c r="G127" s="173"/>
      <c r="H127" s="164">
        <f t="shared" si="62"/>
        <v>0</v>
      </c>
      <c r="I127" s="164">
        <f t="shared" si="63"/>
        <v>0</v>
      </c>
      <c r="J127" s="173"/>
      <c r="K127" s="179"/>
      <c r="L127" s="173"/>
      <c r="M127" s="173"/>
      <c r="N127" s="168" t="str">
        <f t="shared" si="69"/>
        <v/>
      </c>
      <c r="O127" s="179"/>
      <c r="P127" s="268"/>
    </row>
    <row r="128" spans="1:16" x14ac:dyDescent="0.3">
      <c r="A128" s="159" t="str">
        <f t="shared" si="70"/>
        <v/>
      </c>
      <c r="B128" s="175"/>
      <c r="C128" s="173"/>
      <c r="D128" s="173"/>
      <c r="E128" s="174"/>
      <c r="F128" s="161">
        <f t="shared" si="61"/>
        <v>0</v>
      </c>
      <c r="G128" s="173"/>
      <c r="H128" s="164">
        <f t="shared" si="62"/>
        <v>0</v>
      </c>
      <c r="I128" s="164">
        <f t="shared" si="63"/>
        <v>0</v>
      </c>
      <c r="J128" s="173"/>
      <c r="K128" s="179"/>
      <c r="L128" s="173"/>
      <c r="M128" s="173"/>
      <c r="N128" s="168" t="str">
        <f t="shared" si="69"/>
        <v/>
      </c>
      <c r="O128" s="179"/>
      <c r="P128" s="268"/>
    </row>
    <row r="129" spans="1:23" ht="14.5" thickBot="1" x14ac:dyDescent="0.35">
      <c r="A129" s="159" t="str">
        <f t="shared" si="70"/>
        <v/>
      </c>
      <c r="B129" s="181"/>
      <c r="C129" s="176"/>
      <c r="D129" s="176"/>
      <c r="E129" s="177"/>
      <c r="F129" s="162">
        <f t="shared" si="61"/>
        <v>0</v>
      </c>
      <c r="G129" s="173"/>
      <c r="H129" s="164">
        <f t="shared" si="62"/>
        <v>0</v>
      </c>
      <c r="I129" s="164">
        <f t="shared" si="63"/>
        <v>0</v>
      </c>
      <c r="J129" s="176"/>
      <c r="K129" s="180"/>
      <c r="L129" s="176"/>
      <c r="M129" s="176"/>
      <c r="N129" s="169" t="str">
        <f t="shared" si="69"/>
        <v/>
      </c>
      <c r="O129" s="180"/>
      <c r="P129" s="269"/>
    </row>
    <row r="130" spans="1:23" ht="16" thickBot="1" x14ac:dyDescent="0.4">
      <c r="A130" s="127" t="s">
        <v>49</v>
      </c>
      <c r="B130" s="128"/>
      <c r="C130" s="128"/>
      <c r="D130" s="128"/>
      <c r="E130" s="128"/>
      <c r="F130" s="128"/>
      <c r="G130" s="129"/>
      <c r="H130" s="170">
        <f t="shared" ref="H130:I130" si="71">SUM(H118:H129)</f>
        <v>0</v>
      </c>
      <c r="I130" s="166">
        <f t="shared" si="71"/>
        <v>0</v>
      </c>
      <c r="J130" s="411"/>
      <c r="K130" s="412"/>
      <c r="L130" s="412"/>
      <c r="M130" s="412"/>
      <c r="N130" s="412"/>
      <c r="O130" s="412"/>
      <c r="P130" s="413"/>
    </row>
    <row r="131" spans="1:23" ht="14.5" thickBot="1" x14ac:dyDescent="0.35"/>
    <row r="132" spans="1:23" ht="14.5" thickBot="1" x14ac:dyDescent="0.35">
      <c r="B132" s="51"/>
      <c r="C132" s="419" t="s">
        <v>44</v>
      </c>
      <c r="D132" s="420"/>
      <c r="G132" s="114" t="s">
        <v>45</v>
      </c>
      <c r="H132" s="419" t="s">
        <v>52</v>
      </c>
      <c r="I132" s="420"/>
      <c r="L132" s="466" t="s">
        <v>81</v>
      </c>
      <c r="M132" s="467"/>
      <c r="N132" s="25"/>
    </row>
    <row r="133" spans="1:23" ht="14.5" thickBot="1" x14ac:dyDescent="0.35">
      <c r="A133" s="114" t="s">
        <v>549</v>
      </c>
      <c r="B133" s="115" t="s">
        <v>23</v>
      </c>
      <c r="C133" s="116" t="s">
        <v>24</v>
      </c>
      <c r="D133" s="116" t="s">
        <v>25</v>
      </c>
      <c r="E133" s="419" t="s">
        <v>26</v>
      </c>
      <c r="F133" s="419" t="s">
        <v>27</v>
      </c>
      <c r="G133" s="117" t="s">
        <v>73</v>
      </c>
      <c r="H133" s="419" t="s">
        <v>53</v>
      </c>
      <c r="I133" s="114" t="s">
        <v>36</v>
      </c>
      <c r="J133" s="420" t="s">
        <v>48</v>
      </c>
      <c r="K133" s="419" t="s">
        <v>31</v>
      </c>
      <c r="L133" s="114" t="s">
        <v>46</v>
      </c>
      <c r="M133" s="114" t="s">
        <v>34</v>
      </c>
      <c r="N133" s="114" t="s">
        <v>1</v>
      </c>
      <c r="O133" s="114" t="s">
        <v>74</v>
      </c>
      <c r="P133" s="266" t="s">
        <v>121</v>
      </c>
      <c r="S133" s="425" t="s">
        <v>560</v>
      </c>
      <c r="T133" s="426" t="s">
        <v>516</v>
      </c>
      <c r="U133" s="426" t="s">
        <v>26</v>
      </c>
      <c r="V133" s="427" t="s">
        <v>550</v>
      </c>
      <c r="W133" s="279"/>
    </row>
    <row r="134" spans="1:23" x14ac:dyDescent="0.3">
      <c r="A134" s="159">
        <v>969503</v>
      </c>
      <c r="B134" s="175" t="s">
        <v>548</v>
      </c>
      <c r="C134" s="171"/>
      <c r="D134" s="171"/>
      <c r="E134" s="195"/>
      <c r="F134" s="160">
        <f t="shared" ref="F134:F145" si="72">ABS(D134-C134)</f>
        <v>0</v>
      </c>
      <c r="G134" s="171"/>
      <c r="H134" s="163">
        <f t="shared" ref="H134:H145" si="73">E134*F134/15.1</f>
        <v>0</v>
      </c>
      <c r="I134" s="163">
        <f t="shared" ref="I134:I145" si="74">H134</f>
        <v>0</v>
      </c>
      <c r="J134" s="171" t="s">
        <v>42</v>
      </c>
      <c r="K134" s="178">
        <v>3</v>
      </c>
      <c r="L134" s="171"/>
      <c r="M134" s="171"/>
      <c r="N134" s="167">
        <f t="shared" ref="N134" si="75">$A$10</f>
        <v>44013</v>
      </c>
      <c r="O134" s="178" t="s">
        <v>426</v>
      </c>
      <c r="P134" s="267">
        <v>8.5</v>
      </c>
      <c r="S134" s="428" t="s">
        <v>561</v>
      </c>
      <c r="T134" s="320"/>
      <c r="U134" s="320"/>
      <c r="V134" s="429"/>
      <c r="W134" s="279"/>
    </row>
    <row r="135" spans="1:23" x14ac:dyDescent="0.3">
      <c r="A135" s="159"/>
      <c r="B135" s="175"/>
      <c r="C135" s="173"/>
      <c r="D135" s="173"/>
      <c r="E135" s="174"/>
      <c r="F135" s="194">
        <f t="shared" ref="F135:F136" si="76">ABS(D135-C135)</f>
        <v>0</v>
      </c>
      <c r="G135" s="173"/>
      <c r="H135" s="164">
        <f t="shared" ref="H135:H136" si="77">E135*F135/15.1</f>
        <v>0</v>
      </c>
      <c r="I135" s="164">
        <f t="shared" ref="I135:I136" si="78">H135</f>
        <v>0</v>
      </c>
      <c r="J135" s="173"/>
      <c r="K135" s="179"/>
      <c r="L135" s="173"/>
      <c r="M135" s="173"/>
      <c r="N135" s="168" t="str">
        <f t="shared" ref="N135:N136" si="79">IF(NOT(ISBLANK(B135)),$A$10,"")</f>
        <v/>
      </c>
      <c r="O135" s="179"/>
      <c r="P135" s="267"/>
      <c r="S135" s="428"/>
      <c r="T135" s="320"/>
      <c r="U135" s="320"/>
      <c r="V135" s="429"/>
      <c r="W135" s="279"/>
    </row>
    <row r="136" spans="1:23" x14ac:dyDescent="0.3">
      <c r="A136" s="159"/>
      <c r="B136" s="175"/>
      <c r="C136" s="173"/>
      <c r="D136" s="173"/>
      <c r="E136" s="174"/>
      <c r="F136" s="194">
        <f t="shared" si="76"/>
        <v>0</v>
      </c>
      <c r="G136" s="173"/>
      <c r="H136" s="164">
        <f t="shared" si="77"/>
        <v>0</v>
      </c>
      <c r="I136" s="164">
        <f t="shared" si="78"/>
        <v>0</v>
      </c>
      <c r="J136" s="173"/>
      <c r="K136" s="179"/>
      <c r="L136" s="173"/>
      <c r="M136" s="173"/>
      <c r="N136" s="168" t="str">
        <f t="shared" si="79"/>
        <v/>
      </c>
      <c r="O136" s="179"/>
      <c r="P136" s="267"/>
      <c r="S136" s="428"/>
      <c r="T136" s="320"/>
      <c r="U136" s="320"/>
      <c r="V136" s="429"/>
      <c r="W136" s="279"/>
    </row>
    <row r="137" spans="1:23" x14ac:dyDescent="0.3">
      <c r="A137" s="159" t="str">
        <f>IF(NOT(ISBLANK(B137)),A134,"")</f>
        <v/>
      </c>
      <c r="B137" s="175"/>
      <c r="C137" s="173"/>
      <c r="D137" s="173"/>
      <c r="E137" s="174"/>
      <c r="F137" s="194">
        <f t="shared" si="72"/>
        <v>0</v>
      </c>
      <c r="G137" s="173"/>
      <c r="H137" s="164">
        <f t="shared" si="73"/>
        <v>0</v>
      </c>
      <c r="I137" s="164">
        <f t="shared" si="74"/>
        <v>0</v>
      </c>
      <c r="J137" s="173"/>
      <c r="K137" s="179"/>
      <c r="L137" s="173"/>
      <c r="M137" s="173"/>
      <c r="N137" s="168" t="str">
        <f t="shared" ref="N137:N145" si="80">IF(NOT(ISBLANK(B137)),$A$10,"")</f>
        <v/>
      </c>
      <c r="O137" s="179"/>
      <c r="P137" s="268"/>
      <c r="S137" s="430"/>
      <c r="T137" s="431" t="s">
        <v>553</v>
      </c>
      <c r="U137" s="320">
        <v>209.9</v>
      </c>
      <c r="V137" s="429">
        <v>14.02</v>
      </c>
      <c r="W137" s="279"/>
    </row>
    <row r="138" spans="1:23" x14ac:dyDescent="0.3">
      <c r="A138" s="159" t="str">
        <f t="shared" ref="A138:A145" si="81">IF(NOT(ISBLANK(B138)),A137,"")</f>
        <v/>
      </c>
      <c r="B138" s="175"/>
      <c r="C138" s="173"/>
      <c r="D138" s="173"/>
      <c r="E138" s="196"/>
      <c r="F138" s="161">
        <f t="shared" si="72"/>
        <v>0</v>
      </c>
      <c r="G138" s="173"/>
      <c r="H138" s="164">
        <f t="shared" si="73"/>
        <v>0</v>
      </c>
      <c r="I138" s="164">
        <f t="shared" si="74"/>
        <v>0</v>
      </c>
      <c r="J138" s="173"/>
      <c r="K138" s="179"/>
      <c r="L138" s="173"/>
      <c r="M138" s="173"/>
      <c r="N138" s="168" t="str">
        <f t="shared" si="80"/>
        <v/>
      </c>
      <c r="O138" s="179"/>
      <c r="P138" s="268"/>
      <c r="S138" s="430"/>
      <c r="T138" s="432" t="s">
        <v>551</v>
      </c>
      <c r="U138" s="320">
        <v>169.1</v>
      </c>
      <c r="V138" s="429">
        <v>11.2</v>
      </c>
      <c r="W138" s="279"/>
    </row>
    <row r="139" spans="1:23" ht="14.5" thickBot="1" x14ac:dyDescent="0.35">
      <c r="A139" s="159" t="str">
        <f t="shared" si="81"/>
        <v/>
      </c>
      <c r="B139" s="175"/>
      <c r="C139" s="173"/>
      <c r="D139" s="173"/>
      <c r="E139" s="174"/>
      <c r="F139" s="161">
        <f t="shared" si="72"/>
        <v>0</v>
      </c>
      <c r="G139" s="173"/>
      <c r="H139" s="164">
        <f t="shared" si="73"/>
        <v>0</v>
      </c>
      <c r="I139" s="164">
        <f t="shared" si="74"/>
        <v>0</v>
      </c>
      <c r="J139" s="173"/>
      <c r="K139" s="179"/>
      <c r="L139" s="173"/>
      <c r="M139" s="173"/>
      <c r="N139" s="168" t="str">
        <f t="shared" si="80"/>
        <v/>
      </c>
      <c r="O139" s="179"/>
      <c r="P139" s="268"/>
      <c r="S139" s="435"/>
      <c r="T139" s="439" t="s">
        <v>552</v>
      </c>
      <c r="U139" s="424">
        <v>379</v>
      </c>
      <c r="V139" s="438">
        <v>25.22</v>
      </c>
      <c r="W139" s="279"/>
    </row>
    <row r="140" spans="1:23" x14ac:dyDescent="0.3">
      <c r="A140" s="159" t="str">
        <f t="shared" si="81"/>
        <v/>
      </c>
      <c r="B140" s="175"/>
      <c r="C140" s="173"/>
      <c r="D140" s="173"/>
      <c r="E140" s="196"/>
      <c r="F140" s="161">
        <f t="shared" si="72"/>
        <v>0</v>
      </c>
      <c r="G140" s="173"/>
      <c r="H140" s="164">
        <f t="shared" si="73"/>
        <v>0</v>
      </c>
      <c r="I140" s="164">
        <f t="shared" si="74"/>
        <v>0</v>
      </c>
      <c r="J140" s="173"/>
      <c r="K140" s="179"/>
      <c r="L140" s="173"/>
      <c r="M140" s="173"/>
      <c r="N140" s="168" t="str">
        <f t="shared" si="80"/>
        <v/>
      </c>
      <c r="O140" s="179"/>
      <c r="P140" s="268"/>
      <c r="S140" s="428" t="s">
        <v>562</v>
      </c>
      <c r="T140" s="320"/>
      <c r="U140" s="320"/>
      <c r="V140" s="429"/>
      <c r="W140" s="279"/>
    </row>
    <row r="141" spans="1:23" x14ac:dyDescent="0.3">
      <c r="A141" s="159" t="str">
        <f t="shared" si="81"/>
        <v/>
      </c>
      <c r="B141" s="175"/>
      <c r="C141" s="173"/>
      <c r="D141" s="173"/>
      <c r="E141" s="174"/>
      <c r="F141" s="161">
        <f t="shared" si="72"/>
        <v>0</v>
      </c>
      <c r="G141" s="173"/>
      <c r="H141" s="164">
        <f t="shared" si="73"/>
        <v>0</v>
      </c>
      <c r="I141" s="164">
        <f t="shared" si="74"/>
        <v>0</v>
      </c>
      <c r="J141" s="173"/>
      <c r="K141" s="179"/>
      <c r="L141" s="173"/>
      <c r="M141" s="173"/>
      <c r="N141" s="168" t="str">
        <f t="shared" si="80"/>
        <v/>
      </c>
      <c r="O141" s="179"/>
      <c r="P141" s="268"/>
      <c r="S141" s="430"/>
      <c r="T141" s="320" t="s">
        <v>426</v>
      </c>
      <c r="U141" s="434">
        <f>V141*15.1</f>
        <v>207.92699999999999</v>
      </c>
      <c r="V141" s="429">
        <v>13.77</v>
      </c>
      <c r="W141" s="279"/>
    </row>
    <row r="142" spans="1:23" x14ac:dyDescent="0.3">
      <c r="A142" s="159" t="str">
        <f t="shared" si="81"/>
        <v/>
      </c>
      <c r="B142" s="175"/>
      <c r="C142" s="173"/>
      <c r="D142" s="173"/>
      <c r="E142" s="174"/>
      <c r="F142" s="161">
        <f t="shared" si="72"/>
        <v>0</v>
      </c>
      <c r="G142" s="173"/>
      <c r="H142" s="164">
        <f t="shared" si="73"/>
        <v>0</v>
      </c>
      <c r="I142" s="164">
        <f t="shared" si="74"/>
        <v>0</v>
      </c>
      <c r="J142" s="173"/>
      <c r="K142" s="179"/>
      <c r="L142" s="173"/>
      <c r="M142" s="173"/>
      <c r="N142" s="168" t="str">
        <f t="shared" si="80"/>
        <v/>
      </c>
      <c r="O142" s="179"/>
      <c r="P142" s="268"/>
      <c r="S142" s="430"/>
      <c r="T142" s="320" t="s">
        <v>494</v>
      </c>
      <c r="U142" s="434">
        <f t="shared" ref="U142:U143" si="82">V142*15.1</f>
        <v>166.40199999999999</v>
      </c>
      <c r="V142" s="429">
        <v>11.02</v>
      </c>
      <c r="W142" s="279"/>
    </row>
    <row r="143" spans="1:23" ht="14.5" thickBot="1" x14ac:dyDescent="0.35">
      <c r="A143" s="159" t="str">
        <f t="shared" si="81"/>
        <v/>
      </c>
      <c r="B143" s="175"/>
      <c r="C143" s="173"/>
      <c r="D143" s="173"/>
      <c r="E143" s="174"/>
      <c r="F143" s="161">
        <f t="shared" si="72"/>
        <v>0</v>
      </c>
      <c r="G143" s="173"/>
      <c r="H143" s="164">
        <f t="shared" si="73"/>
        <v>0</v>
      </c>
      <c r="I143" s="164">
        <f t="shared" si="74"/>
        <v>0</v>
      </c>
      <c r="J143" s="173"/>
      <c r="K143" s="179"/>
      <c r="L143" s="173"/>
      <c r="M143" s="173"/>
      <c r="N143" s="168" t="str">
        <f t="shared" si="80"/>
        <v/>
      </c>
      <c r="O143" s="179"/>
      <c r="P143" s="268"/>
      <c r="S143" s="435"/>
      <c r="T143" s="436" t="s">
        <v>554</v>
      </c>
      <c r="U143" s="437">
        <f t="shared" si="82"/>
        <v>374.32899999999995</v>
      </c>
      <c r="V143" s="438">
        <v>24.79</v>
      </c>
      <c r="W143" s="279"/>
    </row>
    <row r="144" spans="1:23" x14ac:dyDescent="0.3">
      <c r="A144" s="159" t="str">
        <f t="shared" si="81"/>
        <v/>
      </c>
      <c r="B144" s="175"/>
      <c r="C144" s="173"/>
      <c r="D144" s="173"/>
      <c r="E144" s="174"/>
      <c r="F144" s="161">
        <f t="shared" si="72"/>
        <v>0</v>
      </c>
      <c r="G144" s="173"/>
      <c r="H144" s="164">
        <f t="shared" si="73"/>
        <v>0</v>
      </c>
      <c r="I144" s="164">
        <f t="shared" si="74"/>
        <v>0</v>
      </c>
      <c r="J144" s="173"/>
      <c r="K144" s="179"/>
      <c r="L144" s="173"/>
      <c r="M144" s="173"/>
      <c r="N144" s="168" t="str">
        <f t="shared" si="80"/>
        <v/>
      </c>
      <c r="O144" s="179"/>
      <c r="P144" s="268"/>
      <c r="W144" s="279"/>
    </row>
    <row r="145" spans="1:16" ht="14.5" thickBot="1" x14ac:dyDescent="0.35">
      <c r="A145" s="159" t="str">
        <f t="shared" si="81"/>
        <v/>
      </c>
      <c r="B145" s="181"/>
      <c r="C145" s="176"/>
      <c r="D145" s="176"/>
      <c r="E145" s="177"/>
      <c r="F145" s="162">
        <f t="shared" si="72"/>
        <v>0</v>
      </c>
      <c r="G145" s="173"/>
      <c r="H145" s="164">
        <f t="shared" si="73"/>
        <v>0</v>
      </c>
      <c r="I145" s="164">
        <f t="shared" si="74"/>
        <v>0</v>
      </c>
      <c r="J145" s="176"/>
      <c r="K145" s="180"/>
      <c r="L145" s="176"/>
      <c r="M145" s="176"/>
      <c r="N145" s="169" t="str">
        <f t="shared" si="80"/>
        <v/>
      </c>
      <c r="O145" s="180"/>
      <c r="P145" s="269"/>
    </row>
    <row r="146" spans="1:16" ht="16" thickBot="1" x14ac:dyDescent="0.4">
      <c r="A146" s="127" t="s">
        <v>49</v>
      </c>
      <c r="B146" s="128"/>
      <c r="C146" s="128"/>
      <c r="D146" s="128"/>
      <c r="E146" s="128"/>
      <c r="F146" s="128"/>
      <c r="G146" s="129"/>
      <c r="H146" s="170">
        <f t="shared" ref="H146:I146" si="83">SUM(H134:H145)</f>
        <v>0</v>
      </c>
      <c r="I146" s="166">
        <f t="shared" si="83"/>
        <v>0</v>
      </c>
      <c r="J146" s="421"/>
      <c r="K146" s="422"/>
      <c r="L146" s="422"/>
      <c r="M146" s="422"/>
      <c r="N146" s="422"/>
      <c r="O146" s="422"/>
      <c r="P146" s="423"/>
    </row>
    <row r="147" spans="1:16" ht="15.5" x14ac:dyDescent="0.35">
      <c r="A147" s="346"/>
      <c r="B147" s="118"/>
      <c r="C147" s="118"/>
      <c r="D147" s="118"/>
      <c r="E147" s="118"/>
      <c r="F147" s="118"/>
      <c r="G147" s="118"/>
      <c r="H147" s="275"/>
      <c r="I147" s="275"/>
      <c r="J147" s="120"/>
      <c r="K147" s="120"/>
      <c r="L147" s="120"/>
      <c r="M147" s="120"/>
      <c r="N147" s="120"/>
      <c r="O147" s="120"/>
      <c r="P147" s="120"/>
    </row>
    <row r="148" spans="1:16" ht="15.5" x14ac:dyDescent="0.35">
      <c r="A148" s="118"/>
    </row>
    <row r="149" spans="1:16" x14ac:dyDescent="0.3">
      <c r="A149" s="327" t="s">
        <v>396</v>
      </c>
      <c r="B149" s="323"/>
      <c r="C149" s="277"/>
      <c r="D149" s="108"/>
      <c r="E149" s="108"/>
      <c r="F149" s="108"/>
      <c r="G149" s="108"/>
      <c r="H149" s="324"/>
      <c r="I149" s="324"/>
      <c r="K149" s="323"/>
      <c r="L149" s="323"/>
      <c r="M149" s="108"/>
      <c r="N149" s="108"/>
      <c r="O149" s="108"/>
      <c r="P149" s="108"/>
    </row>
    <row r="150" spans="1:16" x14ac:dyDescent="0.3">
      <c r="A150" s="279" t="s">
        <v>134</v>
      </c>
      <c r="H150" s="51" t="s">
        <v>52</v>
      </c>
      <c r="I150" s="363"/>
      <c r="J150" s="25"/>
    </row>
    <row r="151" spans="1:16" x14ac:dyDescent="0.3">
      <c r="B151" s="279" t="s">
        <v>485</v>
      </c>
      <c r="H151" s="51">
        <v>181</v>
      </c>
      <c r="I151" s="379"/>
      <c r="J151" s="380"/>
      <c r="K151" s="108"/>
      <c r="L151" s="328"/>
      <c r="M151" s="277"/>
      <c r="N151" s="108"/>
      <c r="O151" s="108"/>
      <c r="P151" s="108"/>
    </row>
    <row r="152" spans="1:16" x14ac:dyDescent="0.3">
      <c r="B152" s="279" t="s">
        <v>480</v>
      </c>
      <c r="H152" s="51">
        <v>349</v>
      </c>
      <c r="I152" s="379"/>
      <c r="J152" s="380"/>
      <c r="K152" s="108"/>
      <c r="L152" s="328"/>
      <c r="M152" s="277"/>
      <c r="N152" s="108"/>
      <c r="O152" s="108"/>
      <c r="P152" s="108"/>
    </row>
    <row r="153" spans="1:16" x14ac:dyDescent="0.3">
      <c r="B153" s="279" t="s">
        <v>477</v>
      </c>
      <c r="H153" s="51">
        <v>499</v>
      </c>
      <c r="K153" s="108"/>
      <c r="L153" s="323"/>
      <c r="M153" s="277"/>
      <c r="N153" s="108"/>
      <c r="O153" s="108"/>
      <c r="P153" s="108"/>
    </row>
    <row r="154" spans="1:16" x14ac:dyDescent="0.3">
      <c r="B154" s="279" t="s">
        <v>478</v>
      </c>
      <c r="H154" s="51">
        <v>233</v>
      </c>
      <c r="I154" s="324"/>
      <c r="K154" s="108"/>
      <c r="L154" s="328"/>
      <c r="M154" s="108"/>
      <c r="N154" s="108"/>
      <c r="O154" s="108"/>
      <c r="P154" s="108"/>
    </row>
    <row r="155" spans="1:16" x14ac:dyDescent="0.3">
      <c r="I155" s="324"/>
      <c r="K155" s="108"/>
      <c r="L155" s="328"/>
      <c r="M155" s="108"/>
      <c r="N155" s="108"/>
      <c r="O155" s="108"/>
      <c r="P155" s="108"/>
    </row>
    <row r="156" spans="1:16" x14ac:dyDescent="0.3">
      <c r="B156" s="317" t="s">
        <v>49</v>
      </c>
      <c r="C156" s="318"/>
      <c r="D156" s="318"/>
      <c r="E156" s="318"/>
      <c r="F156" s="318"/>
      <c r="G156" s="318" t="s">
        <v>243</v>
      </c>
      <c r="H156" s="354">
        <f>SUM(H150:H155)</f>
        <v>1262</v>
      </c>
      <c r="I156" s="324"/>
      <c r="K156" s="108"/>
      <c r="L156" s="328"/>
      <c r="M156" s="108"/>
      <c r="N156" s="108"/>
      <c r="O156" s="108"/>
      <c r="P156" s="108"/>
    </row>
    <row r="157" spans="1:16" x14ac:dyDescent="0.3">
      <c r="B157" s="320"/>
      <c r="C157" s="277"/>
      <c r="D157" s="277"/>
      <c r="E157" s="277"/>
      <c r="F157" s="277"/>
      <c r="G157" s="277"/>
      <c r="H157" s="321"/>
      <c r="I157" s="324"/>
      <c r="K157" s="108"/>
      <c r="L157" s="328"/>
      <c r="M157" s="108"/>
      <c r="N157" s="108"/>
      <c r="O157" s="108"/>
      <c r="P157" s="108"/>
    </row>
    <row r="158" spans="1:16" x14ac:dyDescent="0.3">
      <c r="A158" s="279" t="s">
        <v>133</v>
      </c>
      <c r="C158" s="278"/>
      <c r="D158" s="278" t="s">
        <v>27</v>
      </c>
      <c r="E158" s="278" t="s">
        <v>516</v>
      </c>
      <c r="F158" s="278" t="s">
        <v>517</v>
      </c>
      <c r="G158" s="278" t="s">
        <v>522</v>
      </c>
      <c r="H158" s="278" t="s">
        <v>52</v>
      </c>
      <c r="I158" s="324"/>
      <c r="K158" s="108"/>
      <c r="L158" s="328"/>
      <c r="M158" s="108"/>
      <c r="N158" s="108"/>
      <c r="O158" s="108"/>
      <c r="P158" s="108"/>
    </row>
    <row r="159" spans="1:16" x14ac:dyDescent="0.3">
      <c r="B159" s="279" t="s">
        <v>485</v>
      </c>
      <c r="H159" s="51">
        <v>181</v>
      </c>
      <c r="I159" s="379"/>
      <c r="J159" s="380"/>
      <c r="K159" s="108"/>
      <c r="L159" s="328"/>
      <c r="M159" s="277"/>
      <c r="N159" s="108"/>
      <c r="O159" s="108"/>
      <c r="P159" s="108"/>
    </row>
    <row r="160" spans="1:16" x14ac:dyDescent="0.3">
      <c r="B160" s="279" t="s">
        <v>480</v>
      </c>
      <c r="H160" s="51">
        <v>1261</v>
      </c>
      <c r="I160" s="379" t="s">
        <v>527</v>
      </c>
      <c r="J160" s="380"/>
      <c r="K160" s="108"/>
      <c r="L160" s="328"/>
      <c r="M160" s="277"/>
      <c r="N160" s="108"/>
      <c r="O160" s="108"/>
      <c r="P160" s="108"/>
    </row>
    <row r="161" spans="1:16" x14ac:dyDescent="0.3">
      <c r="B161" s="279" t="s">
        <v>477</v>
      </c>
      <c r="H161" s="51">
        <v>499</v>
      </c>
      <c r="K161" s="108"/>
      <c r="L161" s="323"/>
      <c r="M161" s="277"/>
      <c r="N161" s="108"/>
      <c r="O161" s="108"/>
      <c r="P161" s="108"/>
    </row>
    <row r="162" spans="1:16" x14ac:dyDescent="0.3">
      <c r="B162" s="279" t="s">
        <v>478</v>
      </c>
      <c r="H162" s="51">
        <v>233</v>
      </c>
      <c r="I162" s="324"/>
      <c r="K162" s="108"/>
      <c r="L162" s="328"/>
      <c r="M162" s="108"/>
      <c r="N162" s="108"/>
      <c r="O162" s="108"/>
      <c r="P162" s="108"/>
    </row>
    <row r="163" spans="1:16" x14ac:dyDescent="0.3">
      <c r="B163" s="279" t="s">
        <v>518</v>
      </c>
      <c r="D163" s="51">
        <v>103</v>
      </c>
      <c r="E163" s="51">
        <v>19</v>
      </c>
      <c r="F163" s="51">
        <v>10.5</v>
      </c>
      <c r="G163" s="408">
        <f t="shared" ref="G163" si="84">(D163*E163*F163)*0.5</f>
        <v>10274.25</v>
      </c>
      <c r="H163" s="408">
        <f t="shared" ref="H163:H165" si="85">G163/15.1</f>
        <v>680.41390728476824</v>
      </c>
      <c r="I163" s="398"/>
      <c r="K163" s="108"/>
      <c r="L163" s="328"/>
      <c r="M163" s="108"/>
      <c r="N163" s="108"/>
      <c r="O163" s="108"/>
      <c r="P163" s="108"/>
    </row>
    <row r="164" spans="1:16" x14ac:dyDescent="0.3">
      <c r="B164" s="279" t="s">
        <v>526</v>
      </c>
      <c r="D164" s="51">
        <v>125</v>
      </c>
      <c r="E164" s="51">
        <v>14</v>
      </c>
      <c r="F164" s="51">
        <v>7</v>
      </c>
      <c r="G164" s="408">
        <f>(D164*E164*F164)*0.5</f>
        <v>6125</v>
      </c>
      <c r="H164" s="408">
        <f t="shared" si="85"/>
        <v>405.62913907284769</v>
      </c>
      <c r="M164" s="108"/>
      <c r="N164" s="108"/>
      <c r="O164" s="108"/>
      <c r="P164" s="108"/>
    </row>
    <row r="165" spans="1:16" x14ac:dyDescent="0.3">
      <c r="B165" s="279" t="s">
        <v>520</v>
      </c>
      <c r="D165" s="51">
        <v>47</v>
      </c>
      <c r="E165" s="51">
        <v>47</v>
      </c>
      <c r="F165" s="51">
        <v>8</v>
      </c>
      <c r="G165" s="408">
        <f>(D165*E165*F165)</f>
        <v>17672</v>
      </c>
      <c r="H165" s="408">
        <f t="shared" si="85"/>
        <v>1170.3311258278145</v>
      </c>
      <c r="I165" s="363" t="s">
        <v>521</v>
      </c>
      <c r="M165" s="108"/>
      <c r="N165" s="108"/>
      <c r="O165" s="108"/>
      <c r="P165" s="108"/>
    </row>
    <row r="166" spans="1:16" x14ac:dyDescent="0.3">
      <c r="I166" s="324"/>
      <c r="K166" s="108"/>
      <c r="L166" s="328"/>
      <c r="M166" s="108"/>
      <c r="N166" s="108"/>
      <c r="O166" s="108"/>
      <c r="P166" s="108"/>
    </row>
    <row r="167" spans="1:16" x14ac:dyDescent="0.3">
      <c r="B167" s="317" t="s">
        <v>49</v>
      </c>
      <c r="C167" s="318"/>
      <c r="D167" s="318"/>
      <c r="E167" s="318"/>
      <c r="F167" s="318"/>
      <c r="G167" s="318" t="s">
        <v>243</v>
      </c>
      <c r="H167" s="354">
        <f>SUM(H158:H166)</f>
        <v>4430.3741721854303</v>
      </c>
      <c r="I167" s="323"/>
      <c r="J167" s="320"/>
      <c r="K167" s="277"/>
      <c r="L167" s="277"/>
      <c r="M167" s="277"/>
      <c r="N167" s="277"/>
    </row>
    <row r="168" spans="1:16" x14ac:dyDescent="0.3">
      <c r="B168" s="323"/>
      <c r="C168" s="277"/>
      <c r="D168" s="108"/>
      <c r="E168" s="108"/>
      <c r="F168" s="108"/>
      <c r="G168" s="108"/>
      <c r="H168" s="324"/>
      <c r="I168" s="353"/>
      <c r="K168" s="323"/>
      <c r="L168" s="108"/>
      <c r="M168" s="108"/>
      <c r="N168" s="108"/>
      <c r="O168" s="323"/>
      <c r="P168" s="323"/>
    </row>
    <row r="169" spans="1:16" ht="14.5" thickBot="1" x14ac:dyDescent="0.35">
      <c r="B169" s="320"/>
      <c r="C169" s="277"/>
      <c r="D169" s="277"/>
      <c r="E169" s="277"/>
      <c r="F169" s="277"/>
      <c r="G169" s="277"/>
      <c r="H169" s="277"/>
      <c r="I169" s="321"/>
      <c r="K169" s="108"/>
      <c r="L169" s="108"/>
      <c r="M169" s="108"/>
      <c r="N169" s="108"/>
      <c r="O169" s="323"/>
      <c r="P169" s="323"/>
    </row>
    <row r="170" spans="1:16" ht="14.5" thickBot="1" x14ac:dyDescent="0.35">
      <c r="H170" s="315" t="s">
        <v>135</v>
      </c>
      <c r="I170" s="319">
        <f>H156-H167</f>
        <v>-3168.3741721854303</v>
      </c>
    </row>
    <row r="172" spans="1:16" x14ac:dyDescent="0.3">
      <c r="A172" s="406" t="s">
        <v>414</v>
      </c>
      <c r="B172" s="406"/>
      <c r="C172" s="407"/>
      <c r="F172" s="51" t="s">
        <v>417</v>
      </c>
      <c r="G172" s="51" t="s">
        <v>418</v>
      </c>
      <c r="H172" s="51" t="s">
        <v>419</v>
      </c>
    </row>
    <row r="173" spans="1:16" x14ac:dyDescent="0.3">
      <c r="A173" s="25" t="s">
        <v>420</v>
      </c>
      <c r="B173" s="25" t="s">
        <v>442</v>
      </c>
      <c r="H173" s="51">
        <v>4659</v>
      </c>
      <c r="I173" s="363" t="s">
        <v>443</v>
      </c>
    </row>
    <row r="174" spans="1:16" x14ac:dyDescent="0.3">
      <c r="A174" s="25" t="s">
        <v>87</v>
      </c>
      <c r="B174" s="25" t="s">
        <v>373</v>
      </c>
      <c r="H174" s="51">
        <v>5692</v>
      </c>
      <c r="I174" s="363" t="s">
        <v>461</v>
      </c>
    </row>
    <row r="175" spans="1:16" x14ac:dyDescent="0.3">
      <c r="A175" s="25" t="s">
        <v>88</v>
      </c>
      <c r="B175" s="25" t="s">
        <v>373</v>
      </c>
      <c r="H175" s="51">
        <v>4082</v>
      </c>
      <c r="I175" s="363" t="s">
        <v>486</v>
      </c>
    </row>
    <row r="176" spans="1:16" x14ac:dyDescent="0.3">
      <c r="A176" s="25" t="s">
        <v>89</v>
      </c>
      <c r="B176" s="25" t="s">
        <v>532</v>
      </c>
      <c r="H176" s="51">
        <v>6297</v>
      </c>
      <c r="I176" s="363" t="s">
        <v>523</v>
      </c>
    </row>
    <row r="177" spans="1:8" x14ac:dyDescent="0.3">
      <c r="A177" s="25" t="s">
        <v>90</v>
      </c>
    </row>
    <row r="178" spans="1:8" x14ac:dyDescent="0.3">
      <c r="B178" s="317" t="s">
        <v>49</v>
      </c>
      <c r="C178" s="318"/>
      <c r="D178" s="318"/>
      <c r="E178" s="318"/>
      <c r="F178" s="318"/>
      <c r="G178" s="318"/>
      <c r="H178" s="354">
        <f>SUM(H172:H177)</f>
        <v>20730</v>
      </c>
    </row>
  </sheetData>
  <sheetProtection formatCells="0" formatColumns="0" formatRows="0"/>
  <dataConsolidate/>
  <mergeCells count="28">
    <mergeCell ref="L132:M132"/>
    <mergeCell ref="L116:M116"/>
    <mergeCell ref="L100:M100"/>
    <mergeCell ref="L84:M84"/>
    <mergeCell ref="A1:O1"/>
    <mergeCell ref="A7:E7"/>
    <mergeCell ref="G9:K11"/>
    <mergeCell ref="H14:I14"/>
    <mergeCell ref="L14:M14"/>
    <mergeCell ref="M7:O7"/>
    <mergeCell ref="C28:D28"/>
    <mergeCell ref="H28:I28"/>
    <mergeCell ref="L28:M28"/>
    <mergeCell ref="J26:P26"/>
    <mergeCell ref="C14:D14"/>
    <mergeCell ref="C70:D70"/>
    <mergeCell ref="H70:I70"/>
    <mergeCell ref="L70:M70"/>
    <mergeCell ref="J82:P82"/>
    <mergeCell ref="J40:P40"/>
    <mergeCell ref="J68:P68"/>
    <mergeCell ref="C42:D42"/>
    <mergeCell ref="H42:I42"/>
    <mergeCell ref="L42:M42"/>
    <mergeCell ref="J54:P54"/>
    <mergeCell ref="C56:D56"/>
    <mergeCell ref="H56:I56"/>
    <mergeCell ref="L56:M56"/>
  </mergeCells>
  <conditionalFormatting sqref="M10">
    <cfRule type="cellIs" dxfId="0" priority="1" operator="notEqual">
      <formula>$K$7</formula>
    </cfRule>
  </conditionalFormatting>
  <printOptions horizontalCentered="1"/>
  <pageMargins left="0.7" right="0.7" top="0.45" bottom="0.28000000000000003" header="0.25" footer="0.2"/>
  <pageSetup paperSize="3" scale="46" orientation="portrait" r:id="rId1"/>
  <headerFooter differentFirst="1">
    <oddFooter>&amp;CPage &amp;P</oddFooter>
    <firstHeader>&amp;C&amp;"-,Bold"&amp;18Appendix</firstHeader>
    <firstFooter>&amp;CPage &amp;P</firstFooter>
  </headerFooter>
  <ignoredErrors>
    <ignoredError sqref="M10" unlockedFormula="1"/>
  </ignoredErrors>
  <drawing r:id="rId2"/>
  <legacyDrawing r:id="rId3"/>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800-000000000000}">
          <x14:formula1>
            <xm:f>'Data For Calcs'!$C$10:$C$11</xm:f>
          </x14:formula1>
          <xm:sqref>J16:J25 J44:J53 J30:J39 J58:J67 J72:J81 J118:J129 J134:J145 J102:J113 J86:J97</xm:sqref>
        </x14:dataValidation>
        <x14:dataValidation type="list" allowBlank="1" showInputMessage="1" showErrorMessage="1" xr:uid="{00000000-0002-0000-0800-000001000000}">
          <x14:formula1>
            <xm:f>'Data For Calcs'!$B$29:$B$30</xm:f>
          </x14:formula1>
          <xm:sqref>K16:K25 K44:K53 K30:K39 K58:K67 K72:K81 K118:K129 K134:K145 K102:K113 K86:K97</xm:sqref>
        </x14:dataValidation>
        <x14:dataValidation type="list" allowBlank="1" showInputMessage="1" showErrorMessage="1" xr:uid="{00000000-0002-0000-0800-000002000000}">
          <x14:formula1>
            <xm:f>'Data For Calcs'!$B$31:$B$32</xm:f>
          </x14:formula1>
          <xm:sqref>L16:L25 L44:L53 L58:L67 L30:L39 L72:L81 L102:L113 L118:L129 L134:L145 L86:L97</xm:sqref>
        </x14:dataValidation>
        <x14:dataValidation type="list" allowBlank="1" showInputMessage="1" showErrorMessage="1" xr:uid="{00000000-0002-0000-0800-000003000000}">
          <x14:formula1>
            <xm:f>'Data For Calcs'!$E$29:$E$31</xm:f>
          </x14:formula1>
          <xm:sqref>M16:M25 M44:M53 M30:M39 M58:M67 M72:M81 M102:M113 M118:M129 M134:M145 M86:M97</xm:sqref>
        </x14:dataValidation>
        <x14:dataValidation type="list" allowBlank="1" showInputMessage="1" showErrorMessage="1" xr:uid="{00000000-0002-0000-0800-000004000000}">
          <x14:formula1>
            <xm:f>'Data For Calcs'!$C$5:$C$6</xm:f>
          </x14:formula1>
          <xm:sqref>G16:G25 G44:G53 G30:G39 G58:G67 G72:G81 G102:G113 G118:G129 G134:G145 G86:G97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B1:AR32"/>
  <sheetViews>
    <sheetView workbookViewId="0">
      <selection activeCell="I14" sqref="I14"/>
    </sheetView>
  </sheetViews>
  <sheetFormatPr defaultRowHeight="14.5" x14ac:dyDescent="0.35"/>
  <cols>
    <col min="6" max="7" width="9.1796875" style="49"/>
  </cols>
  <sheetData>
    <row r="1" spans="2:44" s="49" customFormat="1" ht="15" thickBot="1" x14ac:dyDescent="0.4"/>
    <row r="2" spans="2:44" ht="24" thickBot="1" x14ac:dyDescent="0.6">
      <c r="B2" s="482" t="s">
        <v>59</v>
      </c>
      <c r="C2" s="483"/>
      <c r="D2" s="483"/>
      <c r="E2" s="483"/>
      <c r="F2" s="483"/>
      <c r="G2" s="483"/>
      <c r="H2" s="483"/>
      <c r="I2" s="483"/>
      <c r="J2" s="483"/>
      <c r="K2" s="483"/>
      <c r="L2" s="483"/>
      <c r="M2" s="483"/>
      <c r="N2" s="483"/>
      <c r="O2" s="483"/>
      <c r="P2" s="483"/>
      <c r="Q2" s="483"/>
      <c r="R2" s="483"/>
      <c r="S2" s="483"/>
      <c r="T2" s="483"/>
      <c r="U2" s="483"/>
      <c r="V2" s="483"/>
      <c r="W2" s="483"/>
      <c r="X2" s="483"/>
      <c r="Y2" s="483"/>
      <c r="Z2" s="483"/>
      <c r="AA2" s="483"/>
      <c r="AB2" s="483"/>
      <c r="AC2" s="483"/>
      <c r="AD2" s="483"/>
      <c r="AE2" s="483"/>
      <c r="AF2" s="483"/>
      <c r="AG2" s="483"/>
      <c r="AH2" s="483"/>
      <c r="AI2" s="483"/>
      <c r="AJ2" s="483"/>
      <c r="AK2" s="483"/>
      <c r="AL2" s="483"/>
      <c r="AM2" s="483"/>
      <c r="AN2" s="483"/>
      <c r="AO2" s="483"/>
      <c r="AP2" s="483"/>
      <c r="AQ2" s="484"/>
    </row>
    <row r="3" spans="2:44" ht="15" thickBot="1" x14ac:dyDescent="0.4">
      <c r="B3" s="53"/>
      <c r="C3" s="31"/>
      <c r="D3" s="31"/>
      <c r="E3" s="31"/>
      <c r="F3" s="31"/>
      <c r="G3" s="31"/>
      <c r="H3" s="491" t="s">
        <v>39</v>
      </c>
      <c r="I3" s="492"/>
      <c r="J3" s="492"/>
      <c r="K3" s="492"/>
      <c r="L3" s="492"/>
      <c r="M3" s="492"/>
      <c r="N3" s="492"/>
      <c r="O3" s="492"/>
      <c r="P3" s="492"/>
      <c r="Q3" s="492"/>
      <c r="R3" s="492"/>
      <c r="S3" s="492"/>
      <c r="T3" s="492"/>
      <c r="U3" s="493"/>
      <c r="V3" s="31"/>
      <c r="W3" s="488" t="s">
        <v>76</v>
      </c>
      <c r="X3" s="489"/>
      <c r="Y3" s="489"/>
      <c r="Z3" s="489"/>
      <c r="AA3" s="489"/>
      <c r="AB3" s="489"/>
      <c r="AC3" s="489"/>
      <c r="AD3" s="489"/>
      <c r="AE3" s="489"/>
      <c r="AF3" s="489"/>
      <c r="AG3" s="489"/>
      <c r="AH3" s="489"/>
      <c r="AI3" s="489"/>
      <c r="AJ3" s="489"/>
      <c r="AK3" s="489"/>
      <c r="AL3" s="489"/>
      <c r="AM3" s="489"/>
      <c r="AN3" s="489"/>
      <c r="AO3" s="489"/>
      <c r="AP3" s="489"/>
      <c r="AQ3" s="490"/>
    </row>
    <row r="4" spans="2:44" ht="15" thickBot="1" x14ac:dyDescent="0.4">
      <c r="B4" s="42"/>
      <c r="C4" s="303" t="s">
        <v>82</v>
      </c>
      <c r="D4" s="43"/>
      <c r="E4" s="31"/>
      <c r="F4" s="31"/>
      <c r="G4" s="31"/>
      <c r="H4" s="94" t="s">
        <v>37</v>
      </c>
      <c r="I4" s="95" t="s">
        <v>22</v>
      </c>
      <c r="J4" s="94" t="s">
        <v>37</v>
      </c>
      <c r="K4" s="95" t="s">
        <v>22</v>
      </c>
      <c r="L4" s="94" t="s">
        <v>37</v>
      </c>
      <c r="M4" s="95" t="s">
        <v>22</v>
      </c>
      <c r="N4" s="94" t="s">
        <v>37</v>
      </c>
      <c r="O4" s="95" t="s">
        <v>22</v>
      </c>
      <c r="P4" s="94" t="s">
        <v>37</v>
      </c>
      <c r="Q4" s="95" t="s">
        <v>22</v>
      </c>
      <c r="R4" s="94" t="s">
        <v>37</v>
      </c>
      <c r="S4" s="95" t="s">
        <v>22</v>
      </c>
      <c r="T4" s="91" t="s">
        <v>37</v>
      </c>
      <c r="U4" s="95" t="s">
        <v>22</v>
      </c>
      <c r="V4" s="31"/>
      <c r="W4" s="94" t="s">
        <v>37</v>
      </c>
      <c r="X4" s="91" t="s">
        <v>22</v>
      </c>
      <c r="Y4" s="95" t="s">
        <v>40</v>
      </c>
      <c r="Z4" s="94" t="s">
        <v>37</v>
      </c>
      <c r="AA4" s="91" t="s">
        <v>22</v>
      </c>
      <c r="AB4" s="95" t="s">
        <v>40</v>
      </c>
      <c r="AC4" s="94" t="s">
        <v>37</v>
      </c>
      <c r="AD4" s="91" t="s">
        <v>22</v>
      </c>
      <c r="AE4" s="95" t="s">
        <v>40</v>
      </c>
      <c r="AF4" s="94" t="s">
        <v>37</v>
      </c>
      <c r="AG4" s="91" t="s">
        <v>22</v>
      </c>
      <c r="AH4" s="95" t="s">
        <v>40</v>
      </c>
      <c r="AI4" s="94" t="s">
        <v>37</v>
      </c>
      <c r="AJ4" s="91" t="s">
        <v>22</v>
      </c>
      <c r="AK4" s="95" t="s">
        <v>40</v>
      </c>
      <c r="AL4" s="94" t="s">
        <v>37</v>
      </c>
      <c r="AM4" s="91" t="s">
        <v>22</v>
      </c>
      <c r="AN4" s="95" t="s">
        <v>40</v>
      </c>
      <c r="AO4" s="91" t="s">
        <v>37</v>
      </c>
      <c r="AP4" s="91" t="s">
        <v>22</v>
      </c>
      <c r="AQ4" s="95" t="s">
        <v>40</v>
      </c>
    </row>
    <row r="5" spans="2:44" ht="15" thickBot="1" x14ac:dyDescent="0.4">
      <c r="B5" s="44"/>
      <c r="C5" s="45" t="s">
        <v>79</v>
      </c>
      <c r="D5" s="46"/>
      <c r="E5" s="31"/>
      <c r="F5" s="31"/>
      <c r="G5" s="31"/>
      <c r="H5" s="71">
        <v>968900</v>
      </c>
      <c r="I5" s="74" t="str">
        <f>'Data For Calcs'!$C$14</f>
        <v>&gt;=44013</v>
      </c>
      <c r="J5" s="71">
        <v>968901</v>
      </c>
      <c r="K5" s="74" t="str">
        <f>'Data For Calcs'!$C$14</f>
        <v>&gt;=44013</v>
      </c>
      <c r="L5" s="75">
        <v>968903</v>
      </c>
      <c r="M5" s="74" t="str">
        <f>'Data For Calcs'!$C$14</f>
        <v>&gt;=44013</v>
      </c>
      <c r="N5" s="71">
        <v>968904</v>
      </c>
      <c r="O5" s="74" t="str">
        <f>'Data For Calcs'!$C$14</f>
        <v>&gt;=44013</v>
      </c>
      <c r="P5" s="71" t="s">
        <v>230</v>
      </c>
      <c r="Q5" s="74" t="str">
        <f>'Data For Calcs'!$C$14</f>
        <v>&gt;=44013</v>
      </c>
      <c r="R5" s="71" t="s">
        <v>405</v>
      </c>
      <c r="S5" s="74" t="str">
        <f>'Data For Calcs'!$C$14</f>
        <v>&gt;=44013</v>
      </c>
      <c r="T5" s="73"/>
      <c r="U5" s="74" t="str">
        <f>'Data For Calcs'!$C$14</f>
        <v>&gt;=44013</v>
      </c>
      <c r="V5" s="31"/>
      <c r="W5" s="71">
        <v>968900</v>
      </c>
      <c r="X5" s="72" t="str">
        <f>'Data For Calcs'!$C$14</f>
        <v>&gt;=44013</v>
      </c>
      <c r="Y5" s="74" t="s">
        <v>42</v>
      </c>
      <c r="Z5" s="79">
        <v>968901</v>
      </c>
      <c r="AA5" s="125" t="str">
        <f>'Data For Calcs'!$C$14</f>
        <v>&gt;=44013</v>
      </c>
      <c r="AB5" s="126" t="str">
        <f>$Y$5</f>
        <v>D</v>
      </c>
      <c r="AC5" s="71">
        <v>968903</v>
      </c>
      <c r="AD5" s="73" t="str">
        <f>'Data For Calcs'!$C$14</f>
        <v>&gt;=44013</v>
      </c>
      <c r="AE5" s="72" t="str">
        <f>$Y$5</f>
        <v>D</v>
      </c>
      <c r="AF5" s="71">
        <v>968904</v>
      </c>
      <c r="AG5" s="73" t="str">
        <f>'Data For Calcs'!$C$14</f>
        <v>&gt;=44013</v>
      </c>
      <c r="AH5" s="73" t="str">
        <f>$Y$5</f>
        <v>D</v>
      </c>
      <c r="AI5" s="71" t="s">
        <v>230</v>
      </c>
      <c r="AJ5" s="73" t="str">
        <f>'Data For Calcs'!$C$14</f>
        <v>&gt;=44013</v>
      </c>
      <c r="AK5" s="73" t="str">
        <f>$Y$5</f>
        <v>D</v>
      </c>
      <c r="AL5" s="71" t="s">
        <v>405</v>
      </c>
      <c r="AM5" s="73" t="str">
        <f>'Data For Calcs'!$C$14</f>
        <v>&gt;=44013</v>
      </c>
      <c r="AN5" s="124" t="str">
        <f>$Y$5</f>
        <v>D</v>
      </c>
      <c r="AO5" s="73"/>
      <c r="AP5" s="72" t="str">
        <f>'Data For Calcs'!$C$14</f>
        <v>&gt;=44013</v>
      </c>
      <c r="AQ5" s="74" t="str">
        <f>$Y$5</f>
        <v>D</v>
      </c>
    </row>
    <row r="6" spans="2:44" ht="15" thickBot="1" x14ac:dyDescent="0.4">
      <c r="B6" s="67"/>
      <c r="C6" s="45" t="s">
        <v>78</v>
      </c>
      <c r="D6" s="68"/>
      <c r="E6" s="66"/>
      <c r="F6" s="66"/>
      <c r="G6" s="66"/>
      <c r="H6" s="94" t="s">
        <v>37</v>
      </c>
      <c r="I6" s="95" t="s">
        <v>22</v>
      </c>
      <c r="J6" s="94" t="s">
        <v>37</v>
      </c>
      <c r="K6" s="95" t="s">
        <v>22</v>
      </c>
      <c r="L6" s="94" t="s">
        <v>37</v>
      </c>
      <c r="M6" s="95" t="s">
        <v>22</v>
      </c>
      <c r="N6" s="94" t="s">
        <v>37</v>
      </c>
      <c r="O6" s="95" t="s">
        <v>22</v>
      </c>
      <c r="P6" s="94" t="s">
        <v>37</v>
      </c>
      <c r="Q6" s="95" t="s">
        <v>22</v>
      </c>
      <c r="R6" s="304"/>
      <c r="S6" s="304"/>
      <c r="T6" s="304"/>
      <c r="U6" s="304"/>
      <c r="V6" s="304"/>
      <c r="W6" s="94" t="s">
        <v>37</v>
      </c>
      <c r="X6" s="91" t="s">
        <v>22</v>
      </c>
      <c r="Y6" s="95" t="s">
        <v>40</v>
      </c>
      <c r="Z6" s="94" t="s">
        <v>37</v>
      </c>
      <c r="AA6" s="91" t="s">
        <v>22</v>
      </c>
      <c r="AB6" s="95" t="s">
        <v>40</v>
      </c>
      <c r="AC6" s="94" t="s">
        <v>37</v>
      </c>
      <c r="AD6" s="91" t="s">
        <v>22</v>
      </c>
      <c r="AE6" s="95" t="s">
        <v>40</v>
      </c>
      <c r="AF6" s="94" t="s">
        <v>37</v>
      </c>
      <c r="AG6" s="91" t="s">
        <v>22</v>
      </c>
      <c r="AH6" s="95" t="s">
        <v>40</v>
      </c>
      <c r="AI6" s="94" t="s">
        <v>37</v>
      </c>
      <c r="AJ6" s="91" t="s">
        <v>22</v>
      </c>
      <c r="AK6" s="95" t="s">
        <v>40</v>
      </c>
      <c r="AL6" s="304"/>
      <c r="AM6" s="304"/>
      <c r="AN6" s="304"/>
      <c r="AO6" s="304"/>
      <c r="AP6" s="304"/>
      <c r="AQ6" s="305"/>
    </row>
    <row r="7" spans="2:44" ht="15" thickBot="1" x14ac:dyDescent="0.4">
      <c r="B7" s="67"/>
      <c r="C7" s="45" t="s">
        <v>393</v>
      </c>
      <c r="D7" s="68"/>
      <c r="E7" s="66"/>
      <c r="F7" s="66"/>
      <c r="G7" s="66"/>
      <c r="H7" s="71">
        <v>969500</v>
      </c>
      <c r="I7" s="74" t="str">
        <f>'Data For Calcs'!$C$14</f>
        <v>&gt;=44013</v>
      </c>
      <c r="J7" s="71">
        <v>969501</v>
      </c>
      <c r="K7" s="74" t="str">
        <f>'Data For Calcs'!$C$14</f>
        <v>&gt;=44013</v>
      </c>
      <c r="L7" s="75">
        <v>969502</v>
      </c>
      <c r="M7" s="74" t="str">
        <f>'Data For Calcs'!$C$14</f>
        <v>&gt;=44013</v>
      </c>
      <c r="N7" s="71">
        <v>969503</v>
      </c>
      <c r="O7" s="74" t="str">
        <f>'Data For Calcs'!$C$14</f>
        <v>&gt;=44013</v>
      </c>
      <c r="P7" s="71">
        <v>969504</v>
      </c>
      <c r="Q7" s="74" t="str">
        <f>'Data For Calcs'!$C$14</f>
        <v>&gt;=44013</v>
      </c>
      <c r="R7" s="309"/>
      <c r="S7" s="309"/>
      <c r="T7" s="309"/>
      <c r="U7" s="309"/>
      <c r="V7" s="304"/>
      <c r="W7" s="71">
        <v>969500</v>
      </c>
      <c r="X7" s="72" t="str">
        <f>'Data For Calcs'!$C$14</f>
        <v>&gt;=44013</v>
      </c>
      <c r="Y7" s="74" t="s">
        <v>42</v>
      </c>
      <c r="Z7" s="79">
        <v>969501</v>
      </c>
      <c r="AA7" s="125" t="str">
        <f>'Data For Calcs'!$C$14</f>
        <v>&gt;=44013</v>
      </c>
      <c r="AB7" s="126" t="str">
        <f>$Y$5</f>
        <v>D</v>
      </c>
      <c r="AC7" s="71">
        <v>969502</v>
      </c>
      <c r="AD7" s="73" t="str">
        <f>'Data For Calcs'!$C$14</f>
        <v>&gt;=44013</v>
      </c>
      <c r="AE7" s="72" t="str">
        <f>$Y$5</f>
        <v>D</v>
      </c>
      <c r="AF7" s="71">
        <v>969503</v>
      </c>
      <c r="AG7" s="73" t="str">
        <f>'Data For Calcs'!$C$14</f>
        <v>&gt;=44013</v>
      </c>
      <c r="AH7" s="73" t="str">
        <f>$Y$5</f>
        <v>D</v>
      </c>
      <c r="AI7" s="71">
        <v>969504</v>
      </c>
      <c r="AJ7" s="73" t="str">
        <f>'Data For Calcs'!$C$14</f>
        <v>&gt;=44013</v>
      </c>
      <c r="AK7" s="73" t="str">
        <f>$Y$5</f>
        <v>D</v>
      </c>
      <c r="AL7" s="309"/>
      <c r="AM7" s="309"/>
      <c r="AN7" s="309"/>
      <c r="AO7" s="309"/>
      <c r="AP7" s="309"/>
      <c r="AQ7" s="312"/>
    </row>
    <row r="8" spans="2:44" ht="15" thickBot="1" x14ac:dyDescent="0.4">
      <c r="B8" s="63"/>
      <c r="C8" s="66"/>
      <c r="D8" s="66"/>
      <c r="E8" s="66"/>
      <c r="F8" s="66"/>
      <c r="G8" s="66"/>
      <c r="H8" s="87"/>
      <c r="I8" s="87"/>
      <c r="J8" s="87"/>
      <c r="K8" s="310"/>
      <c r="L8" s="87"/>
      <c r="M8" s="310"/>
      <c r="N8" s="87"/>
      <c r="O8" s="310"/>
      <c r="P8" s="87"/>
      <c r="Q8" s="310"/>
      <c r="R8" s="87"/>
      <c r="S8" s="310"/>
      <c r="T8" s="87"/>
      <c r="U8" s="310"/>
      <c r="V8" s="304"/>
      <c r="W8" s="87"/>
      <c r="X8" s="87"/>
      <c r="Y8" s="87"/>
      <c r="Z8" s="87"/>
      <c r="AA8" s="310"/>
      <c r="AB8" s="87"/>
      <c r="AC8" s="87"/>
      <c r="AD8" s="87"/>
      <c r="AE8" s="87"/>
      <c r="AF8" s="87"/>
      <c r="AG8" s="87"/>
      <c r="AH8" s="87"/>
      <c r="AI8" s="87"/>
      <c r="AJ8" s="310"/>
      <c r="AK8" s="310"/>
      <c r="AL8" s="87"/>
      <c r="AM8" s="87"/>
      <c r="AN8" s="87"/>
      <c r="AO8" s="87"/>
      <c r="AP8" s="87"/>
      <c r="AQ8" s="313"/>
    </row>
    <row r="9" spans="2:44" ht="15" thickBot="1" x14ac:dyDescent="0.4">
      <c r="B9" s="494" t="s">
        <v>41</v>
      </c>
      <c r="C9" s="495"/>
      <c r="D9" s="49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4"/>
    </row>
    <row r="10" spans="2:44" ht="15" thickBot="1" x14ac:dyDescent="0.4">
      <c r="B10" s="67"/>
      <c r="C10" s="77" t="s">
        <v>42</v>
      </c>
      <c r="D10" s="68"/>
      <c r="E10" s="66"/>
      <c r="F10" s="66"/>
      <c r="G10" s="66"/>
      <c r="H10" s="491" t="s">
        <v>38</v>
      </c>
      <c r="I10" s="492"/>
      <c r="J10" s="492"/>
      <c r="K10" s="492"/>
      <c r="L10" s="492"/>
      <c r="M10" s="492"/>
      <c r="N10" s="492"/>
      <c r="O10" s="492"/>
      <c r="P10" s="492"/>
      <c r="Q10" s="492"/>
      <c r="R10" s="492"/>
      <c r="S10" s="492"/>
      <c r="T10" s="492"/>
      <c r="U10" s="493"/>
      <c r="V10" s="66"/>
      <c r="W10" s="491" t="s">
        <v>77</v>
      </c>
      <c r="X10" s="492"/>
      <c r="Y10" s="492"/>
      <c r="Z10" s="492"/>
      <c r="AA10" s="492"/>
      <c r="AB10" s="492"/>
      <c r="AC10" s="492"/>
      <c r="AD10" s="492"/>
      <c r="AE10" s="492"/>
      <c r="AF10" s="492"/>
      <c r="AG10" s="492"/>
      <c r="AH10" s="492"/>
      <c r="AI10" s="492"/>
      <c r="AJ10" s="492"/>
      <c r="AK10" s="492"/>
      <c r="AL10" s="492"/>
      <c r="AM10" s="492"/>
      <c r="AN10" s="492"/>
      <c r="AO10" s="492"/>
      <c r="AP10" s="492"/>
      <c r="AQ10" s="493"/>
    </row>
    <row r="11" spans="2:44" ht="15" thickBot="1" x14ac:dyDescent="0.4">
      <c r="B11" s="69"/>
      <c r="C11" s="78" t="s">
        <v>43</v>
      </c>
      <c r="D11" s="70"/>
      <c r="E11" s="66"/>
      <c r="F11" s="66"/>
      <c r="G11" s="66"/>
      <c r="H11" s="94" t="s">
        <v>37</v>
      </c>
      <c r="I11" s="95" t="s">
        <v>22</v>
      </c>
      <c r="J11" s="94" t="s">
        <v>37</v>
      </c>
      <c r="K11" s="95" t="s">
        <v>22</v>
      </c>
      <c r="L11" s="94" t="s">
        <v>37</v>
      </c>
      <c r="M11" s="95" t="s">
        <v>22</v>
      </c>
      <c r="N11" s="94" t="s">
        <v>37</v>
      </c>
      <c r="O11" s="95" t="s">
        <v>22</v>
      </c>
      <c r="P11" s="94" t="s">
        <v>37</v>
      </c>
      <c r="Q11" s="95" t="s">
        <v>22</v>
      </c>
      <c r="R11" s="94" t="s">
        <v>37</v>
      </c>
      <c r="S11" s="95" t="s">
        <v>22</v>
      </c>
      <c r="T11" s="91" t="s">
        <v>37</v>
      </c>
      <c r="U11" s="95" t="s">
        <v>22</v>
      </c>
      <c r="V11" s="66"/>
      <c r="W11" s="94" t="s">
        <v>37</v>
      </c>
      <c r="X11" s="91" t="s">
        <v>22</v>
      </c>
      <c r="Y11" s="95" t="s">
        <v>40</v>
      </c>
      <c r="Z11" s="94" t="s">
        <v>37</v>
      </c>
      <c r="AA11" s="91" t="s">
        <v>22</v>
      </c>
      <c r="AB11" s="95" t="s">
        <v>40</v>
      </c>
      <c r="AC11" s="94" t="s">
        <v>37</v>
      </c>
      <c r="AD11" s="91" t="s">
        <v>22</v>
      </c>
      <c r="AE11" s="95" t="s">
        <v>40</v>
      </c>
      <c r="AF11" s="94" t="s">
        <v>37</v>
      </c>
      <c r="AG11" s="91" t="s">
        <v>22</v>
      </c>
      <c r="AH11" s="95" t="s">
        <v>40</v>
      </c>
      <c r="AI11" s="94" t="s">
        <v>37</v>
      </c>
      <c r="AJ11" s="91" t="s">
        <v>22</v>
      </c>
      <c r="AK11" s="95" t="s">
        <v>40</v>
      </c>
      <c r="AL11" s="94" t="s">
        <v>37</v>
      </c>
      <c r="AM11" s="91" t="s">
        <v>22</v>
      </c>
      <c r="AN11" s="95" t="s">
        <v>40</v>
      </c>
      <c r="AO11" s="94" t="s">
        <v>37</v>
      </c>
      <c r="AP11" s="91" t="s">
        <v>22</v>
      </c>
      <c r="AQ11" s="95" t="s">
        <v>40</v>
      </c>
    </row>
    <row r="12" spans="2:44" ht="15" thickBot="1" x14ac:dyDescent="0.4">
      <c r="B12" s="63"/>
      <c r="C12" s="66"/>
      <c r="D12" s="66"/>
      <c r="E12" s="66"/>
      <c r="F12" s="66"/>
      <c r="G12" s="66"/>
      <c r="H12" s="71">
        <v>968900</v>
      </c>
      <c r="I12" s="74" t="str">
        <f>'Data For Calcs'!$C$15</f>
        <v>&gt;=43831</v>
      </c>
      <c r="J12" s="71">
        <v>968901</v>
      </c>
      <c r="K12" s="74" t="str">
        <f>$I$12</f>
        <v>&gt;=43831</v>
      </c>
      <c r="L12" s="75">
        <v>968903</v>
      </c>
      <c r="M12" s="74" t="str">
        <f>$I$12</f>
        <v>&gt;=43831</v>
      </c>
      <c r="N12" s="71">
        <v>968904</v>
      </c>
      <c r="O12" s="74" t="str">
        <f>$I$12</f>
        <v>&gt;=43831</v>
      </c>
      <c r="P12" s="71" t="s">
        <v>230</v>
      </c>
      <c r="Q12" s="74" t="str">
        <f>$I$12</f>
        <v>&gt;=43831</v>
      </c>
      <c r="R12" s="71" t="s">
        <v>405</v>
      </c>
      <c r="S12" s="74" t="str">
        <f>$I$12</f>
        <v>&gt;=43831</v>
      </c>
      <c r="T12" s="73"/>
      <c r="U12" s="74" t="str">
        <f>$I$12</f>
        <v>&gt;=43831</v>
      </c>
      <c r="V12" s="66"/>
      <c r="W12" s="71">
        <v>968900</v>
      </c>
      <c r="X12" s="72" t="str">
        <f>$C$14</f>
        <v>&gt;=44013</v>
      </c>
      <c r="Y12" s="74" t="s">
        <v>43</v>
      </c>
      <c r="Z12" s="71">
        <v>968901</v>
      </c>
      <c r="AA12" s="72" t="str">
        <f>$C$14</f>
        <v>&gt;=44013</v>
      </c>
      <c r="AB12" s="74" t="s">
        <v>43</v>
      </c>
      <c r="AC12" s="71">
        <v>968903</v>
      </c>
      <c r="AD12" s="72" t="str">
        <f>$C$14</f>
        <v>&gt;=44013</v>
      </c>
      <c r="AE12" s="74" t="s">
        <v>43</v>
      </c>
      <c r="AF12" s="71">
        <v>968904</v>
      </c>
      <c r="AG12" s="72" t="str">
        <f>$C$14</f>
        <v>&gt;=44013</v>
      </c>
      <c r="AH12" s="74" t="s">
        <v>43</v>
      </c>
      <c r="AI12" s="71" t="s">
        <v>230</v>
      </c>
      <c r="AJ12" s="72" t="str">
        <f>$C$14</f>
        <v>&gt;=44013</v>
      </c>
      <c r="AK12" s="74" t="s">
        <v>43</v>
      </c>
      <c r="AL12" s="71" t="s">
        <v>405</v>
      </c>
      <c r="AM12" s="72" t="str">
        <f>$C$14</f>
        <v>&gt;=44013</v>
      </c>
      <c r="AN12" s="74" t="s">
        <v>43</v>
      </c>
      <c r="AO12" s="71"/>
      <c r="AP12" s="72" t="str">
        <f>$C$14</f>
        <v>&gt;=44013</v>
      </c>
      <c r="AQ12" s="74" t="s">
        <v>43</v>
      </c>
    </row>
    <row r="13" spans="2:44" ht="15" thickBot="1" x14ac:dyDescent="0.4">
      <c r="B13" s="485" t="s">
        <v>56</v>
      </c>
      <c r="C13" s="486"/>
      <c r="D13" s="487"/>
      <c r="E13" s="66"/>
      <c r="F13" s="66"/>
      <c r="G13" s="66"/>
      <c r="H13" s="94" t="s">
        <v>37</v>
      </c>
      <c r="I13" s="95" t="s">
        <v>22</v>
      </c>
      <c r="J13" s="94" t="s">
        <v>37</v>
      </c>
      <c r="K13" s="95" t="s">
        <v>22</v>
      </c>
      <c r="L13" s="94" t="s">
        <v>37</v>
      </c>
      <c r="M13" s="95" t="s">
        <v>22</v>
      </c>
      <c r="N13" s="94" t="s">
        <v>37</v>
      </c>
      <c r="O13" s="95" t="s">
        <v>22</v>
      </c>
      <c r="P13" s="94" t="s">
        <v>37</v>
      </c>
      <c r="Q13" s="95" t="s">
        <v>22</v>
      </c>
      <c r="R13" s="66"/>
      <c r="S13" s="66"/>
      <c r="T13" s="66"/>
      <c r="U13" s="66"/>
      <c r="V13" s="304"/>
      <c r="W13" s="94" t="s">
        <v>37</v>
      </c>
      <c r="X13" s="91" t="s">
        <v>22</v>
      </c>
      <c r="Y13" s="95" t="s">
        <v>40</v>
      </c>
      <c r="Z13" s="94" t="s">
        <v>37</v>
      </c>
      <c r="AA13" s="91" t="s">
        <v>22</v>
      </c>
      <c r="AB13" s="95" t="s">
        <v>40</v>
      </c>
      <c r="AC13" s="94" t="s">
        <v>37</v>
      </c>
      <c r="AD13" s="91" t="s">
        <v>22</v>
      </c>
      <c r="AE13" s="95" t="s">
        <v>40</v>
      </c>
      <c r="AF13" s="94" t="s">
        <v>37</v>
      </c>
      <c r="AG13" s="91" t="s">
        <v>22</v>
      </c>
      <c r="AH13" s="95" t="s">
        <v>40</v>
      </c>
      <c r="AI13" s="94" t="s">
        <v>37</v>
      </c>
      <c r="AJ13" s="91" t="s">
        <v>22</v>
      </c>
      <c r="AK13" s="95" t="s">
        <v>40</v>
      </c>
      <c r="AL13" s="304"/>
      <c r="AM13" s="304"/>
      <c r="AN13" s="304"/>
      <c r="AO13" s="304"/>
      <c r="AP13" s="304"/>
      <c r="AQ13" s="305"/>
      <c r="AR13" s="88"/>
    </row>
    <row r="14" spans="2:44" ht="15" thickBot="1" x14ac:dyDescent="0.4">
      <c r="B14" s="63"/>
      <c r="C14" s="98" t="str">
        <f>CONCATENATE("&gt;=",'Take Off Sheet'!A10)</f>
        <v>&gt;=44013</v>
      </c>
      <c r="D14" s="64" t="s">
        <v>16</v>
      </c>
      <c r="E14" s="66"/>
      <c r="F14" s="66"/>
      <c r="G14" s="66"/>
      <c r="H14" s="71">
        <v>969500</v>
      </c>
      <c r="I14" s="74" t="str">
        <f>'Data For Calcs'!$C$15</f>
        <v>&gt;=43831</v>
      </c>
      <c r="J14" s="71">
        <v>969501</v>
      </c>
      <c r="K14" s="74" t="str">
        <f>$I$12</f>
        <v>&gt;=43831</v>
      </c>
      <c r="L14" s="75">
        <v>969502</v>
      </c>
      <c r="M14" s="74" t="str">
        <f>$I$12</f>
        <v>&gt;=43831</v>
      </c>
      <c r="N14" s="71">
        <v>969503</v>
      </c>
      <c r="O14" s="74" t="str">
        <f>$I$12</f>
        <v>&gt;=43831</v>
      </c>
      <c r="P14" s="71">
        <v>969504</v>
      </c>
      <c r="Q14" s="74" t="str">
        <f>$I$12</f>
        <v>&gt;=43831</v>
      </c>
      <c r="R14" s="309"/>
      <c r="S14" s="309"/>
      <c r="T14" s="309"/>
      <c r="U14" s="309"/>
      <c r="V14" s="304"/>
      <c r="W14" s="71">
        <v>969500</v>
      </c>
      <c r="X14" s="72" t="str">
        <f>$C$14</f>
        <v>&gt;=44013</v>
      </c>
      <c r="Y14" s="74" t="s">
        <v>43</v>
      </c>
      <c r="Z14" s="71">
        <v>969501</v>
      </c>
      <c r="AA14" s="72" t="str">
        <f>$C$14</f>
        <v>&gt;=44013</v>
      </c>
      <c r="AB14" s="74" t="s">
        <v>43</v>
      </c>
      <c r="AC14" s="71">
        <v>969502</v>
      </c>
      <c r="AD14" s="72" t="str">
        <f>$C$14</f>
        <v>&gt;=44013</v>
      </c>
      <c r="AE14" s="74" t="s">
        <v>43</v>
      </c>
      <c r="AF14" s="71">
        <v>969503</v>
      </c>
      <c r="AG14" s="72" t="str">
        <f>$C$14</f>
        <v>&gt;=44013</v>
      </c>
      <c r="AH14" s="74" t="s">
        <v>43</v>
      </c>
      <c r="AI14" s="71">
        <v>969504</v>
      </c>
      <c r="AJ14" s="72" t="str">
        <f>$C$14</f>
        <v>&gt;=44013</v>
      </c>
      <c r="AK14" s="74" t="s">
        <v>43</v>
      </c>
      <c r="AL14" s="309"/>
      <c r="AM14" s="309"/>
      <c r="AN14" s="309"/>
      <c r="AO14" s="309"/>
      <c r="AP14" s="309"/>
      <c r="AQ14" s="312"/>
      <c r="AR14" s="88"/>
    </row>
    <row r="15" spans="2:44" ht="15" thickBot="1" x14ac:dyDescent="0.4">
      <c r="B15" s="101"/>
      <c r="C15" s="102" t="str">
        <f>CONCATENATE("&gt;=",'Take Off Sheet'!A11)</f>
        <v>&gt;=43831</v>
      </c>
      <c r="D15" s="65" t="s">
        <v>57</v>
      </c>
      <c r="E15" s="76"/>
      <c r="F15" s="76"/>
      <c r="G15" s="76"/>
      <c r="H15" s="306"/>
      <c r="I15" s="306"/>
      <c r="J15" s="306"/>
      <c r="K15" s="308"/>
      <c r="L15" s="306"/>
      <c r="M15" s="308"/>
      <c r="N15" s="306"/>
      <c r="O15" s="308"/>
      <c r="P15" s="306"/>
      <c r="Q15" s="308"/>
      <c r="R15" s="306"/>
      <c r="S15" s="308"/>
      <c r="T15" s="306"/>
      <c r="U15" s="308"/>
      <c r="V15" s="314"/>
      <c r="W15" s="306"/>
      <c r="X15" s="308"/>
      <c r="Y15" s="308"/>
      <c r="Z15" s="306"/>
      <c r="AA15" s="308"/>
      <c r="AB15" s="308"/>
      <c r="AC15" s="306"/>
      <c r="AD15" s="308"/>
      <c r="AE15" s="308"/>
      <c r="AF15" s="306"/>
      <c r="AG15" s="308"/>
      <c r="AH15" s="308"/>
      <c r="AI15" s="306"/>
      <c r="AJ15" s="308"/>
      <c r="AK15" s="308"/>
      <c r="AL15" s="306"/>
      <c r="AM15" s="308"/>
      <c r="AN15" s="308"/>
      <c r="AO15" s="306"/>
      <c r="AP15" s="308"/>
      <c r="AQ15" s="307"/>
      <c r="AR15" s="88"/>
    </row>
    <row r="16" spans="2:44" x14ac:dyDescent="0.35">
      <c r="B16" s="35"/>
      <c r="C16" s="39"/>
      <c r="D16" s="39"/>
      <c r="E16" s="39"/>
      <c r="F16" s="59"/>
      <c r="G16" s="59"/>
      <c r="H16" s="59"/>
      <c r="I16" s="59"/>
      <c r="J16" s="59"/>
      <c r="K16" s="59"/>
      <c r="L16" s="59"/>
      <c r="M16" s="59"/>
      <c r="N16" s="59"/>
      <c r="O16" s="59"/>
      <c r="P16" s="59"/>
      <c r="Q16" s="59"/>
      <c r="R16" s="59"/>
      <c r="S16" s="59"/>
      <c r="T16" s="59"/>
      <c r="U16" s="59"/>
      <c r="V16" s="311"/>
      <c r="W16" s="311"/>
      <c r="X16" s="311"/>
      <c r="Y16" s="311"/>
      <c r="Z16" s="311"/>
      <c r="AA16" s="311"/>
      <c r="AB16" s="311"/>
      <c r="AC16" s="311"/>
      <c r="AD16" s="311"/>
      <c r="AE16" s="311"/>
      <c r="AF16" s="311"/>
      <c r="AG16" s="311"/>
      <c r="AH16" s="311"/>
      <c r="AI16" s="311"/>
      <c r="AJ16" s="311"/>
      <c r="AK16" s="311"/>
      <c r="AL16" s="311"/>
      <c r="AM16" s="311"/>
      <c r="AN16" s="311"/>
      <c r="AO16" s="311"/>
      <c r="AP16" s="311"/>
      <c r="AQ16" s="311"/>
      <c r="AR16" s="88"/>
    </row>
    <row r="17" spans="2:44" ht="15" thickBot="1" x14ac:dyDescent="0.4">
      <c r="V17" s="88"/>
      <c r="W17" s="88"/>
      <c r="X17" s="88"/>
      <c r="Y17" s="88"/>
      <c r="Z17" s="88"/>
      <c r="AA17" s="88"/>
      <c r="AB17" s="88"/>
      <c r="AC17" s="88"/>
      <c r="AD17" s="88"/>
      <c r="AE17" s="88"/>
      <c r="AF17" s="88"/>
      <c r="AG17" s="88"/>
      <c r="AH17" s="88"/>
      <c r="AI17" s="88"/>
      <c r="AJ17" s="88"/>
      <c r="AK17" s="88"/>
      <c r="AL17" s="88"/>
      <c r="AM17" s="88"/>
      <c r="AN17" s="88"/>
      <c r="AO17" s="88"/>
      <c r="AP17" s="88"/>
      <c r="AQ17" s="88"/>
      <c r="AR17" s="88"/>
    </row>
    <row r="18" spans="2:44" ht="18.5" x14ac:dyDescent="0.45">
      <c r="B18" s="479" t="s">
        <v>58</v>
      </c>
      <c r="C18" s="480"/>
      <c r="D18" s="480"/>
      <c r="E18" s="480"/>
      <c r="F18" s="481"/>
    </row>
    <row r="19" spans="2:44" x14ac:dyDescent="0.35">
      <c r="B19" s="81" t="s">
        <v>33</v>
      </c>
      <c r="C19" s="82" t="s">
        <v>1</v>
      </c>
      <c r="D19" s="99"/>
      <c r="E19" s="81" t="s">
        <v>33</v>
      </c>
      <c r="F19" s="82" t="s">
        <v>1</v>
      </c>
    </row>
    <row r="20" spans="2:44" ht="15" thickBot="1" x14ac:dyDescent="0.4">
      <c r="B20" s="83">
        <f>B29</f>
        <v>1</v>
      </c>
      <c r="C20" s="84" t="str">
        <f>CONCATENATE("&gt;=",'Take Off Sheet'!$M$8)</f>
        <v>&gt;=</v>
      </c>
      <c r="D20" s="31"/>
      <c r="E20" s="83">
        <f>B30</f>
        <v>3</v>
      </c>
      <c r="F20" s="84" t="str">
        <f>CONCATENATE("&gt;=",'Take Off Sheet'!$M$8)</f>
        <v>&gt;=</v>
      </c>
    </row>
    <row r="21" spans="2:44" x14ac:dyDescent="0.35">
      <c r="B21" s="96" t="s">
        <v>33</v>
      </c>
      <c r="C21" s="97" t="s">
        <v>1</v>
      </c>
      <c r="D21" s="31"/>
      <c r="E21" s="96" t="s">
        <v>33</v>
      </c>
      <c r="F21" s="97" t="s">
        <v>1</v>
      </c>
    </row>
    <row r="22" spans="2:44" ht="15" thickBot="1" x14ac:dyDescent="0.4">
      <c r="B22" s="83">
        <f>B29</f>
        <v>1</v>
      </c>
      <c r="C22" s="84" t="str">
        <f>'Data For Calcs'!$C$14</f>
        <v>&gt;=44013</v>
      </c>
      <c r="D22" s="31"/>
      <c r="E22" s="83">
        <f>B30</f>
        <v>3</v>
      </c>
      <c r="F22" s="84" t="str">
        <f>'Data For Calcs'!$C$14</f>
        <v>&gt;=44013</v>
      </c>
    </row>
    <row r="23" spans="2:44" ht="15" thickBot="1" x14ac:dyDescent="0.4">
      <c r="B23" s="47"/>
      <c r="C23" s="93"/>
      <c r="D23" s="31"/>
      <c r="E23" s="31"/>
      <c r="F23" s="100"/>
    </row>
    <row r="24" spans="2:44" x14ac:dyDescent="0.35">
      <c r="B24" s="105" t="s">
        <v>32</v>
      </c>
      <c r="C24" s="106" t="s">
        <v>1</v>
      </c>
      <c r="D24" s="31"/>
      <c r="E24" s="105" t="s">
        <v>32</v>
      </c>
      <c r="F24" s="106" t="s">
        <v>1</v>
      </c>
    </row>
    <row r="25" spans="2:44" ht="15" thickBot="1" x14ac:dyDescent="0.4">
      <c r="B25" s="104" t="s">
        <v>60</v>
      </c>
      <c r="C25" s="84" t="str">
        <f>CONCATENATE("&gt;=",'Take Off Sheet'!$M$8)</f>
        <v>&gt;=</v>
      </c>
      <c r="D25" s="31"/>
      <c r="E25" s="104" t="s">
        <v>61</v>
      </c>
      <c r="F25" s="84" t="str">
        <f>CONCATENATE("&gt;=",'Take Off Sheet'!$M$8)</f>
        <v>&gt;=</v>
      </c>
    </row>
    <row r="26" spans="2:44" x14ac:dyDescent="0.35">
      <c r="B26" s="105" t="s">
        <v>32</v>
      </c>
      <c r="C26" s="106" t="s">
        <v>1</v>
      </c>
      <c r="D26" s="31"/>
      <c r="E26" s="105" t="s">
        <v>32</v>
      </c>
      <c r="F26" s="106" t="s">
        <v>1</v>
      </c>
    </row>
    <row r="27" spans="2:44" ht="15" thickBot="1" x14ac:dyDescent="0.4">
      <c r="B27" s="104" t="s">
        <v>60</v>
      </c>
      <c r="C27" s="84" t="str">
        <f>'Data For Calcs'!$C$14</f>
        <v>&gt;=44013</v>
      </c>
      <c r="D27" s="31"/>
      <c r="E27" s="104" t="s">
        <v>61</v>
      </c>
      <c r="F27" s="84" t="str">
        <f>'Data For Calcs'!$C$14</f>
        <v>&gt;=44013</v>
      </c>
    </row>
    <row r="28" spans="2:44" x14ac:dyDescent="0.35">
      <c r="B28" s="53"/>
      <c r="C28" s="31"/>
      <c r="D28" s="31"/>
      <c r="E28" s="31"/>
      <c r="F28" s="100"/>
    </row>
    <row r="29" spans="2:44" x14ac:dyDescent="0.35">
      <c r="B29" s="53">
        <v>1</v>
      </c>
      <c r="C29" s="31"/>
      <c r="D29" s="31"/>
      <c r="E29" s="31" t="s">
        <v>68</v>
      </c>
      <c r="F29" s="100"/>
    </row>
    <row r="30" spans="2:44" x14ac:dyDescent="0.35">
      <c r="B30" s="53">
        <v>3</v>
      </c>
      <c r="C30" s="31"/>
      <c r="D30" s="31"/>
      <c r="E30" s="31" t="s">
        <v>69</v>
      </c>
      <c r="F30" s="100"/>
    </row>
    <row r="31" spans="2:44" x14ac:dyDescent="0.35">
      <c r="B31" s="53" t="s">
        <v>60</v>
      </c>
      <c r="C31" s="31"/>
      <c r="D31" s="31"/>
      <c r="E31" s="88" t="s">
        <v>70</v>
      </c>
      <c r="F31" s="100"/>
    </row>
    <row r="32" spans="2:44" ht="15" thickBot="1" x14ac:dyDescent="0.4">
      <c r="B32" s="54" t="s">
        <v>61</v>
      </c>
      <c r="C32" s="32"/>
      <c r="D32" s="32"/>
      <c r="E32" s="32"/>
      <c r="F32" s="103"/>
    </row>
  </sheetData>
  <sheetProtection sheet="1" objects="1" scenarios="1"/>
  <mergeCells count="8">
    <mergeCell ref="B18:F18"/>
    <mergeCell ref="B2:AQ2"/>
    <mergeCell ref="B13:D13"/>
    <mergeCell ref="W3:AQ3"/>
    <mergeCell ref="W10:AQ10"/>
    <mergeCell ref="H10:U10"/>
    <mergeCell ref="H3:U3"/>
    <mergeCell ref="B9:D9"/>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Report Cover Page</vt:lpstr>
      <vt:lpstr>Royalty Cover Page</vt:lpstr>
      <vt:lpstr>Tons By Miner</vt:lpstr>
      <vt:lpstr>Production_Development</vt:lpstr>
      <vt:lpstr>Royalty Calcs</vt:lpstr>
      <vt:lpstr>T 90</vt:lpstr>
      <vt:lpstr>T 90 Chart</vt:lpstr>
      <vt:lpstr>Data Base</vt:lpstr>
      <vt:lpstr>Take Off Sheet</vt:lpstr>
      <vt:lpstr>Data For Calcs</vt:lpstr>
      <vt:lpstr>D_P</vt:lpstr>
      <vt:lpstr>'Data Base'!Print_Area</vt:lpstr>
      <vt:lpstr>Production_Development!Print_Area</vt:lpstr>
      <vt:lpstr>'Report Cover Page'!Print_Area</vt:lpstr>
      <vt:lpstr>'Royalty Calcs'!Print_Area</vt:lpstr>
      <vt:lpstr>'Royalty Cover Page'!Print_Area</vt:lpstr>
      <vt:lpstr>'T 90'!Print_Area</vt:lpstr>
      <vt:lpstr>'T 90 Chart'!Print_Area</vt:lpstr>
      <vt:lpstr>'Take Off Sheet'!Print_Area</vt:lpstr>
      <vt:lpstr>'Tons By Miner'!Print_Area</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abomback on EH8NVQJM1</dc:creator>
  <cp:lastModifiedBy>Robin, Anthony - Colonsay</cp:lastModifiedBy>
  <cp:lastPrinted>2020-07-07T13:56:17Z</cp:lastPrinted>
  <dcterms:created xsi:type="dcterms:W3CDTF">2017-07-13T18:00:21Z</dcterms:created>
  <dcterms:modified xsi:type="dcterms:W3CDTF">2020-07-30T22:20:58Z</dcterms:modified>
</cp:coreProperties>
</file>